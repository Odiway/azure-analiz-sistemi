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temsa.sharepoint.com/Shared Documents/"/>
    </mc:Choice>
  </mc:AlternateContent>
  <xr:revisionPtr revIDLastSave="0" documentId="8_{A9D37F39-5FC6-44E7-8079-1C442593474B}" xr6:coauthVersionLast="47" xr6:coauthVersionMax="47" xr10:uidLastSave="{00000000-0000-0000-0000-000000000000}"/>
  <bookViews>
    <workbookView xWindow="67080" yWindow="-120" windowWidth="29040" windowHeight="15720" xr2:uid="{135A665B-F886-4626-B04A-685D6B46AD76}"/>
  </bookViews>
  <sheets>
    <sheet name="CAE İş Planı" sheetId="8" r:id="rId1"/>
  </sheets>
  <definedNames>
    <definedName name="_xlnm._FilterDatabase" localSheetId="0" hidden="1">'CAE İş Planı'!$A$3:$E$89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H3" i="8" s="1"/>
  <c r="F4" i="8"/>
  <c r="H4" i="8" l="1"/>
  <c r="I3" i="8"/>
  <c r="G4" i="8"/>
  <c r="J3" i="8" l="1"/>
  <c r="I4" i="8"/>
  <c r="J4" i="8" l="1"/>
  <c r="K3" i="8"/>
  <c r="K4" i="8" l="1"/>
  <c r="L3" i="8"/>
  <c r="L4" i="8" l="1"/>
  <c r="M3" i="8"/>
  <c r="N3" i="8" l="1"/>
  <c r="M4" i="8"/>
  <c r="N4" i="8" l="1"/>
  <c r="O3" i="8"/>
  <c r="O4" i="8" l="1"/>
  <c r="P3" i="8"/>
  <c r="P4" i="8" l="1"/>
  <c r="Q3" i="8"/>
  <c r="Q4" i="8" l="1"/>
  <c r="R3" i="8"/>
  <c r="R4" i="8" l="1"/>
  <c r="S3" i="8"/>
  <c r="T3" i="8" l="1"/>
  <c r="S4" i="8"/>
  <c r="U3" i="8" l="1"/>
  <c r="T4" i="8"/>
  <c r="V3" i="8" l="1"/>
  <c r="U4" i="8"/>
  <c r="V4" i="8" l="1"/>
  <c r="W3" i="8"/>
  <c r="X3" i="8" l="1"/>
  <c r="W4" i="8"/>
  <c r="X4" i="8" l="1"/>
  <c r="Y3" i="8"/>
  <c r="Y4" i="8" l="1"/>
  <c r="Z3" i="8"/>
  <c r="AA3" i="8" l="1"/>
  <c r="Z4" i="8"/>
  <c r="AA4" i="8" l="1"/>
  <c r="AB3" i="8"/>
  <c r="AC3" i="8" l="1"/>
  <c r="AB4" i="8"/>
  <c r="AC4" i="8" l="1"/>
  <c r="AD3" i="8"/>
  <c r="AD4" i="8" l="1"/>
  <c r="AE3" i="8"/>
  <c r="AF3" i="8" l="1"/>
  <c r="AE4" i="8"/>
  <c r="AG3" i="8" l="1"/>
  <c r="AF4" i="8"/>
  <c r="AH3" i="8" l="1"/>
  <c r="AG4" i="8"/>
  <c r="AH4" i="8" l="1"/>
  <c r="AI3" i="8"/>
  <c r="AI4" i="8" l="1"/>
  <c r="AJ3" i="8"/>
  <c r="AK3" i="8" l="1"/>
  <c r="AJ4" i="8"/>
  <c r="AK4" i="8" l="1"/>
  <c r="AL3" i="8"/>
  <c r="AL4" i="8" l="1"/>
  <c r="AM3" i="8"/>
  <c r="AM4" i="8" l="1"/>
  <c r="AN3" i="8"/>
  <c r="AN4" i="8" l="1"/>
  <c r="AO3" i="8"/>
  <c r="AO4" i="8" l="1"/>
  <c r="AP3" i="8"/>
  <c r="AP4" i="8" l="1"/>
  <c r="AQ3" i="8"/>
  <c r="AR3" i="8" l="1"/>
  <c r="AQ4" i="8"/>
  <c r="AS3" i="8" l="1"/>
  <c r="AR4" i="8"/>
  <c r="AS4" i="8" l="1"/>
  <c r="AT3" i="8"/>
  <c r="AT4" i="8" l="1"/>
  <c r="AU3" i="8"/>
  <c r="AV3" i="8" l="1"/>
  <c r="AU4" i="8"/>
  <c r="AW3" i="8" l="1"/>
  <c r="AV4" i="8"/>
  <c r="AW4" i="8" l="1"/>
  <c r="AX3" i="8"/>
  <c r="AX4" i="8" l="1"/>
  <c r="AY3" i="8"/>
  <c r="AZ3" i="8" l="1"/>
  <c r="AY4" i="8"/>
  <c r="BA3" i="8" l="1"/>
  <c r="AZ4" i="8"/>
  <c r="BB3" i="8" l="1"/>
  <c r="BA4" i="8"/>
  <c r="BB4" i="8" l="1"/>
  <c r="BC3" i="8"/>
  <c r="BD3" i="8" l="1"/>
  <c r="BC4" i="8"/>
  <c r="BD4" i="8" l="1"/>
  <c r="BE3" i="8"/>
  <c r="BF3" i="8" l="1"/>
  <c r="BE4" i="8"/>
  <c r="BG3" i="8" l="1"/>
  <c r="BF4" i="8"/>
  <c r="BG4" i="8" l="1"/>
  <c r="BH3" i="8"/>
  <c r="BI3" i="8" l="1"/>
  <c r="BH4" i="8"/>
  <c r="BJ3" i="8" l="1"/>
  <c r="BI4" i="8"/>
  <c r="BJ4" i="8" l="1"/>
  <c r="BK3" i="8"/>
  <c r="BL3" i="8" l="1"/>
  <c r="BK4" i="8"/>
  <c r="BM3" i="8" l="1"/>
  <c r="BL4" i="8"/>
  <c r="BN3" i="8" l="1"/>
  <c r="BM4" i="8"/>
  <c r="BO3" i="8" l="1"/>
  <c r="BN4" i="8"/>
  <c r="BO4" i="8" l="1"/>
  <c r="BP3" i="8"/>
  <c r="BQ3" i="8" l="1"/>
  <c r="BP4" i="8"/>
  <c r="BR3" i="8" l="1"/>
  <c r="BQ4" i="8"/>
  <c r="BR4" i="8" l="1"/>
  <c r="BS3" i="8"/>
  <c r="BS4" i="8" l="1"/>
  <c r="BT3" i="8"/>
  <c r="BT4" i="8" l="1"/>
  <c r="BU3" i="8"/>
  <c r="BU4" i="8" l="1"/>
  <c r="BV3" i="8"/>
  <c r="BV4" i="8" l="1"/>
  <c r="BW3" i="8"/>
  <c r="BW4" i="8" s="1"/>
</calcChain>
</file>

<file path=xl/sharedStrings.xml><?xml version="1.0" encoding="utf-8"?>
<sst xmlns="http://schemas.openxmlformats.org/spreadsheetml/2006/main" count="644" uniqueCount="189">
  <si>
    <t>Ön Çalışma</t>
  </si>
  <si>
    <t>Planlanan</t>
  </si>
  <si>
    <t>Eylül</t>
  </si>
  <si>
    <t>Ekim</t>
  </si>
  <si>
    <t>Kasım</t>
  </si>
  <si>
    <t>Aralık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</si>
  <si>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</si>
  <si>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</si>
  <si>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</si>
  <si>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</si>
  <si>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</si>
  <si>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</si>
  <si>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</si>
  <si>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</si>
  <si>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</si>
  <si>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</si>
  <si>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</si>
  <si>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</si>
  <si>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</si>
  <si>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</si>
  <si>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</si>
  <si>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</si>
  <si>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</si>
  <si>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</si>
  <si>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</si>
  <si>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</si>
  <si>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</si>
  <si>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</si>
  <si>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</si>
  <si>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</si>
  <si>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</si>
  <si>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</si>
  <si>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</si>
  <si>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</si>
  <si>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</si>
  <si>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</si>
  <si>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</si>
  <si>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</si>
  <si>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</si>
  <si>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</si>
  <si>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</si>
  <si>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</si>
  <si>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</si>
  <si>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</si>
  <si>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</si>
  <si>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</si>
  <si>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</si>
  <si>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</si>
  <si>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</si>
  <si>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</si>
  <si>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</si>
  <si>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</si>
  <si>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</si>
  <si>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</si>
  <si>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</si>
  <si>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</si>
  <si>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</si>
  <si>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</si>
  <si>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</si>
  <si>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</si>
  <si>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</si>
  <si>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</si>
  <si>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</si>
  <si>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</si>
  <si>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</si>
  <si>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</si>
  <si>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W53</t>
  </si>
  <si>
    <t>Proje Kodu</t>
  </si>
  <si>
    <t>Projenin Adı</t>
  </si>
  <si>
    <t>Çalışmanın Adı</t>
  </si>
  <si>
    <t>Çalışan Kişi</t>
  </si>
  <si>
    <t>Çalışma Durumu</t>
  </si>
  <si>
    <t>A1319</t>
  </si>
  <si>
    <t xml:space="preserve">NGC MARATON </t>
  </si>
  <si>
    <t>Aero Modelling</t>
  </si>
  <si>
    <t>Kıvanç</t>
  </si>
  <si>
    <t>Devam Ediyor</t>
  </si>
  <si>
    <t>Aero</t>
  </si>
  <si>
    <t>Taşkın</t>
  </si>
  <si>
    <t>Tamamlandı</t>
  </si>
  <si>
    <t>T</t>
  </si>
  <si>
    <t>CFD Soil</t>
  </si>
  <si>
    <t>A1331</t>
  </si>
  <si>
    <t>City One</t>
  </si>
  <si>
    <t>CAD Clean-up</t>
  </si>
  <si>
    <t>Data Bekleniyor</t>
  </si>
  <si>
    <t>CFD Multi Set</t>
  </si>
  <si>
    <t>Modesty Panel</t>
  </si>
  <si>
    <t>Burak</t>
  </si>
  <si>
    <t>B</t>
  </si>
  <si>
    <t>Komponent analizleri</t>
  </si>
  <si>
    <t>Şasi</t>
  </si>
  <si>
    <t>-</t>
  </si>
  <si>
    <t>M</t>
  </si>
  <si>
    <t>R66</t>
  </si>
  <si>
    <t>Coşkun</t>
  </si>
  <si>
    <t>C</t>
  </si>
  <si>
    <t>Fatigue - Hard Point Load Gen. (Sertan)</t>
  </si>
  <si>
    <t>BIAS</t>
  </si>
  <si>
    <t>Fatigue</t>
  </si>
  <si>
    <t>Sertan</t>
  </si>
  <si>
    <t>S</t>
  </si>
  <si>
    <t>Komponent</t>
  </si>
  <si>
    <t>Full Body Modal Korelasyon (Sertan)</t>
  </si>
  <si>
    <t>TEMPA</t>
  </si>
  <si>
    <t>SAT</t>
  </si>
  <si>
    <t>BIW Local Modal Analiz</t>
  </si>
  <si>
    <t>2025 MY Maraton Modal Analiz</t>
  </si>
  <si>
    <t>2025 MY Maraton Model Hazırlama</t>
  </si>
  <si>
    <t>Mustafa</t>
  </si>
  <si>
    <t>Chasis Hot Spot Detection</t>
  </si>
  <si>
    <t>R29 &amp; R93</t>
  </si>
  <si>
    <t>Bagaj Kapağı Non lineer Analiz ( 3 Model, Baz-3mm,Hafifletilmiş-2mm,İyileştirilmiş-2mm)</t>
  </si>
  <si>
    <t>FEM modelleme</t>
  </si>
  <si>
    <t>Avenue Neo</t>
  </si>
  <si>
    <t>R58</t>
  </si>
  <si>
    <t>Başlanmadı</t>
  </si>
  <si>
    <t>Kayar Basamak</t>
  </si>
  <si>
    <t>A1308</t>
  </si>
  <si>
    <t xml:space="preserve">Prestij 2.0 </t>
  </si>
  <si>
    <t>Prestij Lift R66 Güncelleme</t>
  </si>
  <si>
    <t>ERER</t>
  </si>
  <si>
    <t>Sunum</t>
  </si>
  <si>
    <t>A1301</t>
  </si>
  <si>
    <t>Aveneu Neo</t>
  </si>
  <si>
    <t>Fem Modelling</t>
  </si>
  <si>
    <t>Hava Kanalı</t>
  </si>
  <si>
    <t xml:space="preserve">Defroster </t>
  </si>
  <si>
    <t>Torsional Stiffness</t>
  </si>
  <si>
    <t>Cost Reduction (S700 - QSTE 460)</t>
  </si>
  <si>
    <t>AXXXX</t>
  </si>
  <si>
    <t>12m Upgrade (Outsource)</t>
  </si>
  <si>
    <t>A1323</t>
  </si>
  <si>
    <t>Intercity MY</t>
  </si>
  <si>
    <t>Headlining Kırılma</t>
  </si>
  <si>
    <t>G1264</t>
  </si>
  <si>
    <t>TS45 ROLLOVER</t>
  </si>
  <si>
    <t>TS45-SEGE-FMVSS 227</t>
  </si>
  <si>
    <t>FMVSS 227 MAKALE</t>
  </si>
  <si>
    <t>A1304</t>
  </si>
  <si>
    <t>TS45 CARB</t>
  </si>
  <si>
    <t>New Engine Brackets Evaluation</t>
  </si>
  <si>
    <t>TS45 New Engine</t>
  </si>
  <si>
    <t>FMVSS 227</t>
  </si>
  <si>
    <t>TS45 Base &amp; New Mirror Support Modal Analysis</t>
  </si>
  <si>
    <t>A1303</t>
  </si>
  <si>
    <t>TS35 New Engine</t>
  </si>
  <si>
    <t>A1302</t>
  </si>
  <si>
    <t>TS30 New Engine</t>
  </si>
  <si>
    <t>Prestij Retarder Braket Analizi</t>
  </si>
  <si>
    <t>TT Batarya</t>
  </si>
  <si>
    <t>Türk Traktör Batarya R100 (Burak)</t>
  </si>
  <si>
    <t>Prestij Lift Alternatör Braket</t>
  </si>
  <si>
    <t>MD9 WCR</t>
  </si>
  <si>
    <t>MD9 FTP Coach Liftli R66.02</t>
  </si>
  <si>
    <t>LD SB Kapı Bölgesi Kırık</t>
  </si>
  <si>
    <t>AVENEU NEO PILLAR IPTALI - R66</t>
  </si>
  <si>
    <t>AVENEU NEO PILLAR IPTALI - Homologasyon Dokümanı</t>
  </si>
  <si>
    <t>AVENEU NEO PILLAR IPTALI - Şasi</t>
  </si>
  <si>
    <t xml:space="preserve"> MD7 Ski-box &amp; Prestij 2.0</t>
  </si>
  <si>
    <t>Body / Chassis Modelling</t>
  </si>
  <si>
    <t xml:space="preserve">Komponent CAE Input </t>
  </si>
  <si>
    <t xml:space="preserve">İs Süreçleri </t>
  </si>
  <si>
    <t xml:space="preserve">R66.02 </t>
  </si>
  <si>
    <t>CAE Bütçe Çalışmaları</t>
  </si>
  <si>
    <t>Lisans bütçe çalışmaları</t>
  </si>
  <si>
    <t>MD7</t>
  </si>
  <si>
    <t>MD7 Ski-Box</t>
  </si>
  <si>
    <t>G-1283</t>
  </si>
  <si>
    <t>Dijitalizasyon Çalışmaları</t>
  </si>
  <si>
    <t>CO₂ Emission Fleet – Performans Yönetimi &amp; Hedef Optimizasyonu</t>
  </si>
  <si>
    <t>Oğuzhan</t>
  </si>
  <si>
    <t>Fleet Intelligence – Model Performansı Analizi &amp; Optimizasyonu</t>
  </si>
  <si>
    <t>Range Calculation – Enerji Verimliliği Performansı</t>
  </si>
  <si>
    <t>Homologation IT – Süreç Performansı &amp; Otomasyon Geliştirme</t>
  </si>
  <si>
    <t>6.5 Güvenlik Regülasyonları Analiz Süreci</t>
  </si>
  <si>
    <t>6.1 Gövde/Şasi Statik Analiz Süreci</t>
  </si>
  <si>
    <t>6.2 Gövde/Şasi Yorulma Analiz Süreci</t>
  </si>
  <si>
    <t>6.3 Komponent Dayanım Analiz Süreci</t>
  </si>
  <si>
    <t>6.6 Korelasyon Modeli Süreci</t>
  </si>
  <si>
    <t>6.9 Gövde/Şasi NVH Analiz Süreci</t>
  </si>
  <si>
    <t>6.11 Aerodinamik Analiz Süreci</t>
  </si>
  <si>
    <t>6.12 Termal Konfor Analiz Süreci</t>
  </si>
  <si>
    <t>6.13 Termal Yönetim Analiz Süreci</t>
  </si>
  <si>
    <t>6.14 AnalizOutsource Yönetim Süreci</t>
  </si>
  <si>
    <t>ENTEGRASYON IT – Süreç Performansı &amp; Otomasyon Geliştirme</t>
  </si>
  <si>
    <t>MEKANİK  IT – Süreç Performansı &amp; Otomasyon Geliştirme</t>
  </si>
  <si>
    <t>DB,SERVER MANAGEMENT</t>
  </si>
  <si>
    <t>Test Ekibi Takvim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</si>
</sst>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charset val="162"/>
      <scheme val="minor"/>
    </font>
    <font>
      <b/>
      <sz val="14"/>
      <name val="Aptos Narrow"/>
      <family val="2"/>
      <charset val="162"/>
      <scheme val="minor"/>
    </font>
    <font>
      <b/>
      <sz val="1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6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b/>
      <sz val="9"/>
      <name val="Aptos Narrow"/>
      <family val="2"/>
      <charset val="162"/>
      <scheme val="minor"/>
    </font>
    <font>
      <b/>
      <sz val="11"/>
      <color rgb="FF201F1E"/>
      <name val="Calibri"/>
      <charset val="162"/>
    </font>
    <font>
      <b/>
      <sz val="11"/>
      <color rgb="FF201F1E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15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6" fontId="6" fillId="2" borderId="7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6" fontId="6" fillId="2" borderId="25" xfId="0" applyNumberFormat="1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16" fontId="6" fillId="2" borderId="10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4" borderId="7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Continuous" vertical="center" wrapText="1"/>
    </xf>
    <xf numFmtId="0" fontId="8" fillId="4" borderId="1" xfId="0" applyFont="1" applyFill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6" borderId="6" xfId="0" applyFont="1" applyFill="1" applyBorder="1" applyAlignment="1">
      <alignment vertical="center" wrapText="1"/>
    </xf>
    <xf numFmtId="0" fontId="7" fillId="7" borderId="10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9" borderId="2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34" xfId="0" applyFont="1" applyBorder="1" applyAlignment="1">
      <alignment vertical="center" wrapText="1"/>
    </xf>
    <xf numFmtId="0" fontId="5" fillId="3" borderId="37" xfId="0" applyFont="1" applyFill="1" applyBorder="1" applyAlignment="1">
      <alignment vertical="center" wrapText="1"/>
    </xf>
    <xf numFmtId="0" fontId="5" fillId="3" borderId="19" xfId="0" applyFont="1" applyFill="1" applyBorder="1" applyAlignment="1">
      <alignment vertical="center" wrapText="1"/>
    </xf>
    <xf numFmtId="0" fontId="5" fillId="3" borderId="39" xfId="0" applyFont="1" applyFill="1" applyBorder="1" applyAlignment="1">
      <alignment vertical="center" wrapText="1"/>
    </xf>
    <xf numFmtId="0" fontId="5" fillId="3" borderId="29" xfId="0" applyFont="1" applyFill="1" applyBorder="1" applyAlignment="1">
      <alignment vertical="center" wrapText="1"/>
    </xf>
    <xf numFmtId="16" fontId="10" fillId="2" borderId="14" xfId="0" applyNumberFormat="1" applyFont="1" applyFill="1" applyBorder="1" applyAlignment="1">
      <alignment horizontal="center" vertical="center" wrapText="1"/>
    </xf>
    <xf numFmtId="16" fontId="10" fillId="2" borderId="5" xfId="0" applyNumberFormat="1" applyFont="1" applyFill="1" applyBorder="1" applyAlignment="1">
      <alignment horizontal="center" vertical="center" wrapText="1"/>
    </xf>
    <xf numFmtId="16" fontId="10" fillId="2" borderId="13" xfId="0" applyNumberFormat="1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left" vertical="center" wrapText="1"/>
    </xf>
    <xf numFmtId="0" fontId="11" fillId="10" borderId="26" xfId="0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1" fillId="10" borderId="32" xfId="0" applyFont="1" applyFill="1" applyBorder="1" applyAlignment="1">
      <alignment horizontal="left" vertical="center" wrapText="1"/>
    </xf>
    <xf numFmtId="0" fontId="6" fillId="0" borderId="30" xfId="0" applyFont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E39CB21-5B9F-465F-A5A0-83BB3FB06BDC}"/>
  </cellStyles>
  <dxfs count="26">
    <dxf>
      <border>
        <left style="dashDot">
          <color rgb="FFFF0000"/>
        </left>
        <right style="dashDot">
          <color rgb="FFFF0000"/>
        </right>
        <vertical/>
        <horizontal/>
      </border>
    </dxf>
    <dxf>
      <fill>
        <gradientFill degree="90">
          <stop position="0">
            <color rgb="FFFF0000"/>
          </stop>
          <stop position="1">
            <color theme="0"/>
          </stop>
        </gradientFill>
      </fill>
      <border>
        <vertical/>
        <horizontal/>
      </border>
    </dxf>
    <dxf>
      <border>
        <left style="dashDot">
          <color rgb="FFFF0000"/>
        </left>
        <right style="dashDot">
          <color rgb="FFFF0000"/>
        </right>
        <vertical/>
        <horizontal/>
      </border>
    </dxf>
    <dxf>
      <border>
        <left style="dashDot">
          <color rgb="FFFF0000"/>
        </left>
        <right style="dashDot">
          <color rgb="FFFF0000"/>
        </right>
        <vertical/>
        <horizontal/>
      </border>
    </dxf>
    <dxf>
      <border>
        <left style="dashDot">
          <color rgb="FFFF0000"/>
        </left>
        <right style="dashDot">
          <color rgb="FFFF0000"/>
        </right>
        <vertical/>
        <horizontal/>
      </border>
    </dxf>
    <dxf>
      <border>
        <left style="dashDot">
          <color rgb="FFFF0000"/>
        </left>
        <right style="dashDot">
          <color rgb="FFFF0000"/>
        </right>
        <vertical/>
        <horizontal/>
      </border>
    </dxf>
    <dxf>
      <border>
        <left style="dashDot">
          <color rgb="FFFF0000"/>
        </left>
        <right style="dashDot">
          <color rgb="FFFF0000"/>
        </right>
        <vertical/>
        <horizontal/>
      </border>
    </dxf>
    <dxf>
      <border>
        <left style="dashDot">
          <color rgb="FFFF0000"/>
        </left>
        <right style="dashDot">
          <color rgb="FFFF0000"/>
        </right>
        <vertical/>
        <horizontal/>
      </border>
    </dxf>
    <dxf>
      <border>
        <left style="dashDot">
          <color rgb="FFFF0000"/>
        </left>
        <right style="dashDot">
          <color rgb="FFFF0000"/>
        </right>
        <vertical/>
        <horizontal/>
      </border>
    </dxf>
    <dxf>
      <fill>
        <gradientFill degree="90">
          <stop position="0">
            <color rgb="FFFF0000"/>
          </stop>
          <stop position="1">
            <color theme="0"/>
          </stop>
        </gradientFill>
      </fill>
      <border>
        <vertical/>
        <horizontal/>
      </border>
    </dxf>
    <dxf>
      <border>
        <left style="dashDot">
          <color rgb="FFFF0000"/>
        </left>
        <right style="dashDot">
          <color rgb="FFFF0000"/>
        </right>
        <vertical/>
        <horizontal/>
      </border>
    </dxf>
    <dxf>
      <font>
        <b/>
        <i val="0"/>
        <strike/>
        <color theme="0"/>
      </font>
      <fill>
        <patternFill patternType="lightDown">
          <bgColor rgb="FFCC0000"/>
        </patternFill>
      </fill>
    </dxf>
    <dxf>
      <fill>
        <patternFill patternType="lightDown">
          <fgColor rgb="FF99FF99"/>
        </patternFill>
      </fill>
    </dxf>
    <dxf>
      <fill>
        <patternFill patternType="lightDown">
          <fgColor rgb="FF99FF99"/>
        </patternFill>
      </fill>
    </dxf>
    <dxf>
      <font>
        <b/>
        <i val="0"/>
        <strike/>
        <color theme="0"/>
      </font>
      <fill>
        <patternFill patternType="lightDown">
          <bgColor rgb="FFCC0000"/>
        </patternFill>
      </fill>
    </dxf>
    <dxf>
      <fill>
        <patternFill patternType="lightDown">
          <fgColor rgb="FF99FF99"/>
        </patternFill>
      </fill>
    </dxf>
    <dxf>
      <fill>
        <patternFill patternType="lightDown">
          <fgColor rgb="FF99FF99"/>
        </patternFill>
      </fill>
    </dxf>
    <dxf>
      <font>
        <b/>
        <i val="0"/>
        <strike/>
        <color theme="0"/>
      </font>
      <fill>
        <patternFill patternType="lightDown">
          <bgColor rgb="FFCC0000"/>
        </patternFill>
      </fill>
    </dxf>
    <dxf>
      <fill>
        <patternFill patternType="lightDown">
          <fgColor rgb="FF99FF99"/>
        </patternFill>
      </fill>
    </dxf>
    <dxf>
      <fill>
        <patternFill patternType="lightDown">
          <fgColor rgb="FF99FF99"/>
        </patternFill>
      </fill>
    </dxf>
    <dxf>
      <font>
        <b/>
        <i val="0"/>
        <strike/>
        <color theme="0"/>
      </font>
      <fill>
        <patternFill patternType="lightDown">
          <bgColor rgb="FFCC0000"/>
        </patternFill>
      </fill>
    </dxf>
    <dxf>
      <fill>
        <patternFill patternType="lightDown">
          <fgColor rgb="FF99FF99"/>
        </patternFill>
      </fill>
    </dxf>
    <dxf>
      <fill>
        <patternFill patternType="lightDown">
          <fgColor rgb="FF99FF99"/>
        </patternFill>
      </fill>
    </dxf>
    <dxf>
      <font>
        <b/>
        <i val="0"/>
        <strike/>
        <color theme="0"/>
      </font>
      <fill>
        <patternFill patternType="lightDown">
          <bgColor rgb="FFCC0000"/>
        </patternFill>
      </fill>
    </dxf>
    <dxf>
      <fill>
        <patternFill patternType="lightDown">
          <fgColor rgb="FF99FF99"/>
        </patternFill>
      </fill>
    </dxf>
    <dxf>
      <fill>
        <patternFill patternType="lightDown">
          <fgColor rgb="FF99FF99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EE43-97CE-404B-BC6B-622FE3AD7644}">
  <sheetPr filterMode="1">
    <tabColor rgb="FF92D050"/>
  </sheetPr>
  <dimension ref="A1:BW90"/>
  <sheetViews>
    <sheetView showGridLines="0" tabSelected="1" zoomScaleNormal="100" workbookViewId="0">
      <pane ySplit="4" topLeftCell="Y73" activePane="bottomLeft" state="frozen"/>
      <selection pane="bottomLeft" activeCell="AM91" sqref="AM91"/>
    </sheetView>
  </sheetViews>
  <sheetFormatPr defaultColWidth="9.140625" defaultRowHeight="14.45"/>
  <cols>
    <col min="1" max="1" width="15.140625" style="9" bestFit="1" customWidth="1"/>
    <col min="2" max="2" width="22.42578125" style="9" bestFit="1" customWidth="1"/>
    <col min="3" max="3" width="24.42578125" style="9" customWidth="1"/>
    <col min="4" max="4" width="13.5703125" style="9" bestFit="1" customWidth="1"/>
    <col min="5" max="5" width="19.140625" style="6" bestFit="1" customWidth="1"/>
    <col min="6" max="9" width="7.42578125" style="12" hidden="1" customWidth="1"/>
    <col min="10" max="10" width="7.42578125" style="1" hidden="1" customWidth="1"/>
    <col min="11" max="11" width="7.42578125" style="16" hidden="1" customWidth="1"/>
    <col min="12" max="12" width="7.42578125" style="9" hidden="1" customWidth="1"/>
    <col min="13" max="13" width="7.42578125" style="5" hidden="1" customWidth="1"/>
    <col min="14" max="14" width="7.42578125" style="18" hidden="1" customWidth="1"/>
    <col min="15" max="16" width="7.42578125" style="20" hidden="1" customWidth="1"/>
    <col min="17" max="17" width="7.42578125" style="16" hidden="1" customWidth="1"/>
    <col min="18" max="18" width="7.42578125" style="12" hidden="1" customWidth="1"/>
    <col min="19" max="20" width="7.42578125" style="20" hidden="1" customWidth="1"/>
    <col min="21" max="22" width="7.42578125" style="5" hidden="1" customWidth="1"/>
    <col min="23" max="23" width="5.5703125" style="9" customWidth="1"/>
    <col min="24" max="31" width="5.5703125" style="5" customWidth="1"/>
    <col min="32" max="32" width="5.5703125" style="9" customWidth="1"/>
    <col min="33" max="39" width="5.5703125" style="5" customWidth="1"/>
    <col min="40" max="75" width="5.5703125" style="1" customWidth="1"/>
    <col min="76" max="16384" width="9.140625" style="1"/>
  </cols>
  <sheetData>
    <row r="1" spans="1:75" s="2" customFormat="1" ht="23.45" customHeight="1">
      <c r="A1" s="33" t="s">
        <v>0</v>
      </c>
      <c r="B1" s="38" t="s">
        <v>1</v>
      </c>
      <c r="C1" s="27"/>
      <c r="D1" s="27"/>
      <c r="E1" s="28"/>
      <c r="F1" s="105" t="s">
        <v>2</v>
      </c>
      <c r="G1" s="105"/>
      <c r="H1" s="105"/>
      <c r="I1" s="105"/>
      <c r="J1" s="105" t="s">
        <v>3</v>
      </c>
      <c r="K1" s="105"/>
      <c r="L1" s="105"/>
      <c r="M1" s="105"/>
      <c r="N1" s="105"/>
      <c r="O1" s="106" t="s">
        <v>4</v>
      </c>
      <c r="P1" s="107"/>
      <c r="Q1" s="107"/>
      <c r="R1" s="108"/>
      <c r="S1" s="109" t="s">
        <v>5</v>
      </c>
      <c r="T1" s="110"/>
      <c r="U1" s="110"/>
      <c r="V1" s="111"/>
      <c r="W1" s="97" t="s">
        <v>6</v>
      </c>
      <c r="X1" s="97"/>
      <c r="Y1" s="97"/>
      <c r="Z1" s="97"/>
      <c r="AA1" s="97"/>
      <c r="AB1" s="112" t="s">
        <v>7</v>
      </c>
      <c r="AC1" s="112"/>
      <c r="AD1" s="112"/>
      <c r="AE1" s="112"/>
      <c r="AF1" s="97" t="s">
        <v>8</v>
      </c>
      <c r="AG1" s="97"/>
      <c r="AH1" s="97"/>
      <c r="AI1" s="97"/>
      <c r="AJ1" s="102" t="s">
        <v>9</v>
      </c>
      <c r="AK1" s="103"/>
      <c r="AL1" s="103"/>
      <c r="AM1" s="103"/>
      <c r="AN1" s="104"/>
      <c r="AO1" s="102" t="s">
        <v>10</v>
      </c>
      <c r="AP1" s="103"/>
      <c r="AQ1" s="103"/>
      <c r="AR1" s="103"/>
      <c r="AS1" s="102" t="s">
        <v>11</v>
      </c>
      <c r="AT1" s="103"/>
      <c r="AU1" s="103"/>
      <c r="AV1" s="103"/>
      <c r="AW1" s="77" t="s">
        <v>12</v>
      </c>
      <c r="AX1" s="78"/>
      <c r="AY1" s="78"/>
      <c r="AZ1" s="78"/>
      <c r="BA1" s="78"/>
      <c r="BB1" s="102" t="s">
        <v>13</v>
      </c>
      <c r="BC1" s="103"/>
      <c r="BD1" s="103"/>
      <c r="BE1" s="103"/>
      <c r="BF1" s="102" t="s">
        <v>2</v>
      </c>
      <c r="BG1" s="103"/>
      <c r="BH1" s="103"/>
      <c r="BI1" s="103"/>
      <c r="BJ1" s="79" t="s">
        <v>3</v>
      </c>
      <c r="BK1" s="80"/>
      <c r="BL1" s="80"/>
      <c r="BM1" s="80"/>
      <c r="BN1" s="80"/>
      <c r="BO1" s="79" t="s">
        <v>4</v>
      </c>
      <c r="BP1" s="80"/>
      <c r="BQ1" s="80"/>
      <c r="BR1" s="80"/>
      <c r="BS1" s="113" t="s">
        <v>5</v>
      </c>
      <c r="BT1" s="114"/>
      <c r="BU1" s="114"/>
      <c r="BV1" s="114"/>
      <c r="BW1" s="114"/>
    </row>
    <row r="2" spans="1:75" s="3" customFormat="1" ht="30" customHeight="1">
      <c r="A2" s="29"/>
      <c r="B2" s="30"/>
      <c r="C2" s="30"/>
      <c r="D2" s="30"/>
      <c r="E2" s="30"/>
      <c r="F2" s="11" t="s">
        <v>14</v>
      </c>
      <c r="G2" s="11" t="s">
        <v>15</v>
      </c>
      <c r="H2" s="11" t="s">
        <v>16</v>
      </c>
      <c r="I2" s="11" t="s">
        <v>17</v>
      </c>
      <c r="J2" s="2" t="s">
        <v>18</v>
      </c>
      <c r="K2" s="15" t="s">
        <v>19</v>
      </c>
      <c r="L2" s="22" t="s">
        <v>20</v>
      </c>
      <c r="M2" s="23" t="s">
        <v>21</v>
      </c>
      <c r="N2" s="24" t="s">
        <v>22</v>
      </c>
      <c r="O2" s="19" t="s">
        <v>23</v>
      </c>
      <c r="P2" s="19" t="s">
        <v>24</v>
      </c>
      <c r="Q2" s="15" t="s">
        <v>25</v>
      </c>
      <c r="R2" s="11" t="s">
        <v>26</v>
      </c>
      <c r="S2" s="19" t="s">
        <v>27</v>
      </c>
      <c r="T2" s="19" t="s">
        <v>28</v>
      </c>
      <c r="U2" s="14" t="s">
        <v>29</v>
      </c>
      <c r="V2" s="14" t="s">
        <v>30</v>
      </c>
      <c r="W2" s="17" t="s">
        <v>31</v>
      </c>
      <c r="X2" s="14" t="s">
        <v>32</v>
      </c>
      <c r="Y2" s="14" t="s">
        <v>33</v>
      </c>
      <c r="Z2" s="14" t="s">
        <v>34</v>
      </c>
      <c r="AA2" s="14" t="s">
        <v>35</v>
      </c>
      <c r="AB2" s="14" t="s">
        <v>36</v>
      </c>
      <c r="AC2" s="14" t="s">
        <v>37</v>
      </c>
      <c r="AD2" s="14" t="s">
        <v>38</v>
      </c>
      <c r="AE2" s="14" t="s">
        <v>39</v>
      </c>
      <c r="AF2" s="17" t="s">
        <v>40</v>
      </c>
      <c r="AG2" s="14" t="s">
        <v>41</v>
      </c>
      <c r="AH2" s="14" t="s">
        <v>42</v>
      </c>
      <c r="AI2" s="14" t="s">
        <v>43</v>
      </c>
      <c r="AJ2" s="14" t="s">
        <v>44</v>
      </c>
      <c r="AK2" s="14" t="s">
        <v>45</v>
      </c>
      <c r="AL2" s="14" t="s">
        <v>46</v>
      </c>
      <c r="AM2" s="14" t="s">
        <v>47</v>
      </c>
      <c r="AN2" s="14" t="s">
        <v>48</v>
      </c>
      <c r="AO2" s="14" t="s">
        <v>49</v>
      </c>
      <c r="AP2" s="14" t="s">
        <v>50</v>
      </c>
      <c r="AQ2" s="14" t="s">
        <v>51</v>
      </c>
      <c r="AR2" s="14" t="s">
        <v>52</v>
      </c>
      <c r="AS2" s="14" t="s">
        <v>53</v>
      </c>
      <c r="AT2" s="14" t="s">
        <v>54</v>
      </c>
      <c r="AU2" s="14" t="s">
        <v>55</v>
      </c>
      <c r="AV2" s="14" t="s">
        <v>56</v>
      </c>
      <c r="AW2" s="14" t="s">
        <v>57</v>
      </c>
      <c r="AX2" s="14" t="s">
        <v>58</v>
      </c>
      <c r="AY2" s="14" t="s">
        <v>59</v>
      </c>
      <c r="AZ2" s="14" t="s">
        <v>60</v>
      </c>
      <c r="BA2" s="14" t="s">
        <v>61</v>
      </c>
      <c r="BB2" s="14" t="s">
        <v>62</v>
      </c>
      <c r="BC2" s="14" t="s">
        <v>63</v>
      </c>
      <c r="BD2" s="14" t="s">
        <v>64</v>
      </c>
      <c r="BE2" s="14" t="s">
        <v>65</v>
      </c>
      <c r="BF2" s="14" t="s">
        <v>14</v>
      </c>
      <c r="BG2" s="14" t="s">
        <v>15</v>
      </c>
      <c r="BH2" s="14" t="s">
        <v>16</v>
      </c>
      <c r="BI2" s="14" t="s">
        <v>17</v>
      </c>
      <c r="BJ2" s="14" t="s">
        <v>18</v>
      </c>
      <c r="BK2" s="14" t="s">
        <v>19</v>
      </c>
      <c r="BL2" s="14" t="s">
        <v>20</v>
      </c>
      <c r="BM2" s="14" t="s">
        <v>21</v>
      </c>
      <c r="BN2" s="14" t="s">
        <v>22</v>
      </c>
      <c r="BO2" s="14" t="s">
        <v>23</v>
      </c>
      <c r="BP2" s="14" t="s">
        <v>24</v>
      </c>
      <c r="BQ2" s="14" t="s">
        <v>25</v>
      </c>
      <c r="BR2" s="14" t="s">
        <v>26</v>
      </c>
      <c r="BS2" s="14" t="s">
        <v>27</v>
      </c>
      <c r="BT2" s="14" t="s">
        <v>28</v>
      </c>
      <c r="BU2" s="14" t="s">
        <v>29</v>
      </c>
      <c r="BV2" s="14" t="s">
        <v>30</v>
      </c>
      <c r="BW2" s="14" t="s">
        <v>66</v>
      </c>
    </row>
    <row r="3" spans="1:75" s="4" customFormat="1">
      <c r="A3" s="98" t="s">
        <v>67</v>
      </c>
      <c r="B3" s="98" t="s">
        <v>68</v>
      </c>
      <c r="C3" s="98" t="s">
        <v>69</v>
      </c>
      <c r="D3" s="100" t="s">
        <v>70</v>
      </c>
      <c r="E3" s="98" t="s">
        <v>71</v>
      </c>
      <c r="F3" s="25">
        <v>45901</v>
      </c>
      <c r="G3" s="25">
        <f>F3+7</f>
        <v>45908</v>
      </c>
      <c r="H3" s="25">
        <f t="shared" ref="H3:AM3" si="0">G3+7</f>
        <v>45915</v>
      </c>
      <c r="I3" s="25">
        <f t="shared" si="0"/>
        <v>45922</v>
      </c>
      <c r="J3" s="25">
        <f t="shared" si="0"/>
        <v>45929</v>
      </c>
      <c r="K3" s="25">
        <f t="shared" si="0"/>
        <v>45936</v>
      </c>
      <c r="L3" s="25">
        <f t="shared" si="0"/>
        <v>45943</v>
      </c>
      <c r="M3" s="25">
        <f t="shared" si="0"/>
        <v>45950</v>
      </c>
      <c r="N3" s="25">
        <f t="shared" si="0"/>
        <v>45957</v>
      </c>
      <c r="O3" s="25">
        <f t="shared" si="0"/>
        <v>45964</v>
      </c>
      <c r="P3" s="25">
        <f t="shared" si="0"/>
        <v>45971</v>
      </c>
      <c r="Q3" s="25">
        <f t="shared" si="0"/>
        <v>45978</v>
      </c>
      <c r="R3" s="25">
        <f t="shared" si="0"/>
        <v>45985</v>
      </c>
      <c r="S3" s="25">
        <f t="shared" si="0"/>
        <v>45992</v>
      </c>
      <c r="T3" s="25">
        <f t="shared" si="0"/>
        <v>45999</v>
      </c>
      <c r="U3" s="13">
        <f t="shared" si="0"/>
        <v>46006</v>
      </c>
      <c r="V3" s="21">
        <f t="shared" si="0"/>
        <v>46013</v>
      </c>
      <c r="W3" s="81">
        <f>V3+7</f>
        <v>46020</v>
      </c>
      <c r="X3" s="82">
        <f t="shared" si="0"/>
        <v>46027</v>
      </c>
      <c r="Y3" s="82">
        <f t="shared" si="0"/>
        <v>46034</v>
      </c>
      <c r="Z3" s="82">
        <f t="shared" si="0"/>
        <v>46041</v>
      </c>
      <c r="AA3" s="82">
        <f t="shared" si="0"/>
        <v>46048</v>
      </c>
      <c r="AB3" s="82">
        <f t="shared" si="0"/>
        <v>46055</v>
      </c>
      <c r="AC3" s="82">
        <f t="shared" si="0"/>
        <v>46062</v>
      </c>
      <c r="AD3" s="82">
        <f t="shared" si="0"/>
        <v>46069</v>
      </c>
      <c r="AE3" s="82">
        <f t="shared" si="0"/>
        <v>46076</v>
      </c>
      <c r="AF3" s="81">
        <f t="shared" si="0"/>
        <v>46083</v>
      </c>
      <c r="AG3" s="82">
        <f t="shared" si="0"/>
        <v>46090</v>
      </c>
      <c r="AH3" s="82">
        <f t="shared" si="0"/>
        <v>46097</v>
      </c>
      <c r="AI3" s="82">
        <f t="shared" si="0"/>
        <v>46104</v>
      </c>
      <c r="AJ3" s="82">
        <f t="shared" si="0"/>
        <v>46111</v>
      </c>
      <c r="AK3" s="82">
        <f t="shared" si="0"/>
        <v>46118</v>
      </c>
      <c r="AL3" s="82">
        <f t="shared" si="0"/>
        <v>46125</v>
      </c>
      <c r="AM3" s="82">
        <f t="shared" si="0"/>
        <v>46132</v>
      </c>
      <c r="AN3" s="82">
        <f t="shared" ref="AN3" si="1">AM3+7</f>
        <v>46139</v>
      </c>
      <c r="AO3" s="82">
        <f t="shared" ref="AO3" si="2">AN3+7</f>
        <v>46146</v>
      </c>
      <c r="AP3" s="82">
        <f t="shared" ref="AP3" si="3">AO3+7</f>
        <v>46153</v>
      </c>
      <c r="AQ3" s="82">
        <f t="shared" ref="AQ3" si="4">AP3+7</f>
        <v>46160</v>
      </c>
      <c r="AR3" s="82">
        <f t="shared" ref="AR3" si="5">AQ3+7</f>
        <v>46167</v>
      </c>
      <c r="AS3" s="82">
        <f t="shared" ref="AS3" si="6">AR3+7</f>
        <v>46174</v>
      </c>
      <c r="AT3" s="82">
        <f t="shared" ref="AT3" si="7">AS3+7</f>
        <v>46181</v>
      </c>
      <c r="AU3" s="82">
        <f t="shared" ref="AU3" si="8">AT3+7</f>
        <v>46188</v>
      </c>
      <c r="AV3" s="82">
        <f t="shared" ref="AV3" si="9">AU3+7</f>
        <v>46195</v>
      </c>
      <c r="AW3" s="82">
        <f t="shared" ref="AW3" si="10">AV3+7</f>
        <v>46202</v>
      </c>
      <c r="AX3" s="82">
        <f t="shared" ref="AX3" si="11">AW3+7</f>
        <v>46209</v>
      </c>
      <c r="AY3" s="82">
        <f t="shared" ref="AY3" si="12">AX3+7</f>
        <v>46216</v>
      </c>
      <c r="AZ3" s="82">
        <f t="shared" ref="AZ3" si="13">AY3+7</f>
        <v>46223</v>
      </c>
      <c r="BA3" s="82">
        <f t="shared" ref="BA3" si="14">AZ3+7</f>
        <v>46230</v>
      </c>
      <c r="BB3" s="82">
        <f t="shared" ref="BB3" si="15">BA3+7</f>
        <v>46237</v>
      </c>
      <c r="BC3" s="82">
        <f t="shared" ref="BC3" si="16">BB3+7</f>
        <v>46244</v>
      </c>
      <c r="BD3" s="82">
        <f t="shared" ref="BD3" si="17">BC3+7</f>
        <v>46251</v>
      </c>
      <c r="BE3" s="82">
        <f t="shared" ref="BE3" si="18">BD3+7</f>
        <v>46258</v>
      </c>
      <c r="BF3" s="82">
        <f t="shared" ref="BF3" si="19">BE3+7</f>
        <v>46265</v>
      </c>
      <c r="BG3" s="82">
        <f t="shared" ref="BG3" si="20">BF3+7</f>
        <v>46272</v>
      </c>
      <c r="BH3" s="82">
        <f t="shared" ref="BH3" si="21">BG3+7</f>
        <v>46279</v>
      </c>
      <c r="BI3" s="82">
        <f t="shared" ref="BI3" si="22">BH3+7</f>
        <v>46286</v>
      </c>
      <c r="BJ3" s="82">
        <f t="shared" ref="BJ3" si="23">BI3+7</f>
        <v>46293</v>
      </c>
      <c r="BK3" s="82">
        <f t="shared" ref="BK3" si="24">BJ3+7</f>
        <v>46300</v>
      </c>
      <c r="BL3" s="82">
        <f t="shared" ref="BL3" si="25">BK3+7</f>
        <v>46307</v>
      </c>
      <c r="BM3" s="82">
        <f t="shared" ref="BM3" si="26">BL3+7</f>
        <v>46314</v>
      </c>
      <c r="BN3" s="82">
        <f t="shared" ref="BN3" si="27">BM3+7</f>
        <v>46321</v>
      </c>
      <c r="BO3" s="82">
        <f t="shared" ref="BO3" si="28">BN3+7</f>
        <v>46328</v>
      </c>
      <c r="BP3" s="82">
        <f t="shared" ref="BP3" si="29">BO3+7</f>
        <v>46335</v>
      </c>
      <c r="BQ3" s="82">
        <f t="shared" ref="BQ3" si="30">BP3+7</f>
        <v>46342</v>
      </c>
      <c r="BR3" s="82">
        <f t="shared" ref="BR3" si="31">BQ3+7</f>
        <v>46349</v>
      </c>
      <c r="BS3" s="82">
        <f t="shared" ref="BS3" si="32">BR3+7</f>
        <v>46356</v>
      </c>
      <c r="BT3" s="82">
        <f t="shared" ref="BT3" si="33">BS3+7</f>
        <v>46363</v>
      </c>
      <c r="BU3" s="82">
        <f t="shared" ref="BU3" si="34">BT3+7</f>
        <v>46370</v>
      </c>
      <c r="BV3" s="82">
        <f t="shared" ref="BV3:BW3" si="35">BU3+7</f>
        <v>46377</v>
      </c>
      <c r="BW3" s="82">
        <f t="shared" si="35"/>
        <v>46384</v>
      </c>
    </row>
    <row r="4" spans="1:75" s="4" customFormat="1" ht="15" hidden="1">
      <c r="A4" s="99"/>
      <c r="B4" s="99"/>
      <c r="C4" s="99"/>
      <c r="D4" s="101"/>
      <c r="E4" s="99"/>
      <c r="F4" s="25">
        <f t="shared" ref="F4:AT4" si="36">F3+4</f>
        <v>45905</v>
      </c>
      <c r="G4" s="25">
        <f t="shared" si="36"/>
        <v>45912</v>
      </c>
      <c r="H4" s="25">
        <f t="shared" si="36"/>
        <v>45919</v>
      </c>
      <c r="I4" s="25">
        <f t="shared" si="36"/>
        <v>45926</v>
      </c>
      <c r="J4" s="25">
        <f t="shared" si="36"/>
        <v>45933</v>
      </c>
      <c r="K4" s="25">
        <f t="shared" si="36"/>
        <v>45940</v>
      </c>
      <c r="L4" s="25">
        <f t="shared" si="36"/>
        <v>45947</v>
      </c>
      <c r="M4" s="25">
        <f t="shared" si="36"/>
        <v>45954</v>
      </c>
      <c r="N4" s="25">
        <f t="shared" si="36"/>
        <v>45961</v>
      </c>
      <c r="O4" s="25">
        <f t="shared" si="36"/>
        <v>45968</v>
      </c>
      <c r="P4" s="25">
        <f t="shared" si="36"/>
        <v>45975</v>
      </c>
      <c r="Q4" s="25">
        <f t="shared" si="36"/>
        <v>45982</v>
      </c>
      <c r="R4" s="25">
        <f t="shared" si="36"/>
        <v>45989</v>
      </c>
      <c r="S4" s="25">
        <f t="shared" si="36"/>
        <v>45996</v>
      </c>
      <c r="T4" s="25">
        <f t="shared" si="36"/>
        <v>46003</v>
      </c>
      <c r="U4" s="13">
        <f t="shared" si="36"/>
        <v>46010</v>
      </c>
      <c r="V4" s="21">
        <f t="shared" si="36"/>
        <v>46017</v>
      </c>
      <c r="W4" s="81">
        <f t="shared" si="36"/>
        <v>46024</v>
      </c>
      <c r="X4" s="82">
        <f t="shared" si="36"/>
        <v>46031</v>
      </c>
      <c r="Y4" s="82">
        <f t="shared" si="36"/>
        <v>46038</v>
      </c>
      <c r="Z4" s="82">
        <f t="shared" si="36"/>
        <v>46045</v>
      </c>
      <c r="AA4" s="82">
        <f t="shared" si="36"/>
        <v>46052</v>
      </c>
      <c r="AB4" s="82">
        <f t="shared" si="36"/>
        <v>46059</v>
      </c>
      <c r="AC4" s="82">
        <f t="shared" si="36"/>
        <v>46066</v>
      </c>
      <c r="AD4" s="82">
        <f t="shared" si="36"/>
        <v>46073</v>
      </c>
      <c r="AE4" s="82">
        <f t="shared" si="36"/>
        <v>46080</v>
      </c>
      <c r="AF4" s="81">
        <f t="shared" si="36"/>
        <v>46087</v>
      </c>
      <c r="AG4" s="82">
        <f t="shared" si="36"/>
        <v>46094</v>
      </c>
      <c r="AH4" s="82">
        <f t="shared" si="36"/>
        <v>46101</v>
      </c>
      <c r="AI4" s="82">
        <f t="shared" si="36"/>
        <v>46108</v>
      </c>
      <c r="AJ4" s="82">
        <f t="shared" si="36"/>
        <v>46115</v>
      </c>
      <c r="AK4" s="82">
        <f t="shared" si="36"/>
        <v>46122</v>
      </c>
      <c r="AL4" s="82">
        <f t="shared" si="36"/>
        <v>46129</v>
      </c>
      <c r="AM4" s="83">
        <f t="shared" si="36"/>
        <v>46136</v>
      </c>
      <c r="AN4" s="83">
        <f t="shared" si="36"/>
        <v>46143</v>
      </c>
      <c r="AO4" s="83">
        <f t="shared" si="36"/>
        <v>46150</v>
      </c>
      <c r="AP4" s="83">
        <f t="shared" si="36"/>
        <v>46157</v>
      </c>
      <c r="AQ4" s="83">
        <f t="shared" si="36"/>
        <v>46164</v>
      </c>
      <c r="AR4" s="83">
        <f t="shared" si="36"/>
        <v>46171</v>
      </c>
      <c r="AS4" s="83">
        <f t="shared" si="36"/>
        <v>46178</v>
      </c>
      <c r="AT4" s="83">
        <f t="shared" si="36"/>
        <v>46185</v>
      </c>
      <c r="AU4" s="83">
        <f t="shared" ref="AU4:AX4" si="37">AU3+4</f>
        <v>46192</v>
      </c>
      <c r="AV4" s="83">
        <f t="shared" si="37"/>
        <v>46199</v>
      </c>
      <c r="AW4" s="83">
        <f t="shared" si="37"/>
        <v>46206</v>
      </c>
      <c r="AX4" s="83">
        <f t="shared" si="37"/>
        <v>46213</v>
      </c>
      <c r="AY4" s="83">
        <f t="shared" ref="AY4:BW4" si="38">AY3+4</f>
        <v>46220</v>
      </c>
      <c r="AZ4" s="83">
        <f t="shared" si="38"/>
        <v>46227</v>
      </c>
      <c r="BA4" s="83">
        <f t="shared" si="38"/>
        <v>46234</v>
      </c>
      <c r="BB4" s="83">
        <f t="shared" si="38"/>
        <v>46241</v>
      </c>
      <c r="BC4" s="83">
        <f t="shared" si="38"/>
        <v>46248</v>
      </c>
      <c r="BD4" s="83">
        <f t="shared" si="38"/>
        <v>46255</v>
      </c>
      <c r="BE4" s="83">
        <f t="shared" si="38"/>
        <v>46262</v>
      </c>
      <c r="BF4" s="83">
        <f t="shared" si="38"/>
        <v>46269</v>
      </c>
      <c r="BG4" s="83">
        <f t="shared" si="38"/>
        <v>46276</v>
      </c>
      <c r="BH4" s="83">
        <f t="shared" si="38"/>
        <v>46283</v>
      </c>
      <c r="BI4" s="83">
        <f t="shared" si="38"/>
        <v>46290</v>
      </c>
      <c r="BJ4" s="83">
        <f t="shared" si="38"/>
        <v>46297</v>
      </c>
      <c r="BK4" s="83">
        <f t="shared" si="38"/>
        <v>46304</v>
      </c>
      <c r="BL4" s="83">
        <f t="shared" si="38"/>
        <v>46311</v>
      </c>
      <c r="BM4" s="83">
        <f t="shared" si="38"/>
        <v>46318</v>
      </c>
      <c r="BN4" s="83">
        <f t="shared" si="38"/>
        <v>46325</v>
      </c>
      <c r="BO4" s="83">
        <f t="shared" si="38"/>
        <v>46332</v>
      </c>
      <c r="BP4" s="83">
        <f t="shared" si="38"/>
        <v>46339</v>
      </c>
      <c r="BQ4" s="83">
        <f t="shared" si="38"/>
        <v>46346</v>
      </c>
      <c r="BR4" s="83">
        <f t="shared" si="38"/>
        <v>46353</v>
      </c>
      <c r="BS4" s="83">
        <f t="shared" si="38"/>
        <v>46360</v>
      </c>
      <c r="BT4" s="83">
        <f t="shared" si="38"/>
        <v>46367</v>
      </c>
      <c r="BU4" s="83">
        <f t="shared" si="38"/>
        <v>46374</v>
      </c>
      <c r="BV4" s="83">
        <f t="shared" si="38"/>
        <v>46381</v>
      </c>
      <c r="BW4" s="83">
        <f t="shared" si="38"/>
        <v>46388</v>
      </c>
    </row>
    <row r="5" spans="1:75" hidden="1">
      <c r="A5" s="7" t="s">
        <v>72</v>
      </c>
      <c r="B5" s="31" t="s">
        <v>73</v>
      </c>
      <c r="C5" s="31" t="s">
        <v>74</v>
      </c>
      <c r="D5" s="31" t="s">
        <v>75</v>
      </c>
      <c r="E5" s="8" t="s">
        <v>76</v>
      </c>
      <c r="F5" s="39"/>
      <c r="G5" s="39"/>
      <c r="H5" s="39"/>
      <c r="J5" s="32"/>
      <c r="K5" s="26"/>
      <c r="L5" s="26"/>
      <c r="M5" s="26"/>
      <c r="N5" s="26"/>
      <c r="O5" s="26"/>
      <c r="P5" s="47"/>
      <c r="Q5" s="47"/>
      <c r="R5" s="47"/>
      <c r="S5" s="47"/>
      <c r="T5" s="1"/>
      <c r="U5" s="75"/>
      <c r="AD5" s="5">
        <v>45</v>
      </c>
      <c r="AE5" s="5">
        <v>45</v>
      </c>
      <c r="AF5" s="9">
        <v>45</v>
      </c>
      <c r="AG5" s="5">
        <v>45</v>
      </c>
      <c r="AH5" s="5">
        <v>27</v>
      </c>
      <c r="AI5" s="5">
        <v>45</v>
      </c>
      <c r="AJ5" s="5">
        <v>9</v>
      </c>
      <c r="AK5" s="5">
        <v>27</v>
      </c>
      <c r="AL5" s="9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</row>
    <row r="6" spans="1:75" hidden="1">
      <c r="A6" s="7" t="s">
        <v>72</v>
      </c>
      <c r="B6" s="31" t="s">
        <v>73</v>
      </c>
      <c r="C6" s="31" t="s">
        <v>77</v>
      </c>
      <c r="D6" s="31" t="s">
        <v>78</v>
      </c>
      <c r="E6" s="8" t="s">
        <v>79</v>
      </c>
      <c r="F6" s="61" t="s">
        <v>80</v>
      </c>
      <c r="G6" s="61" t="s">
        <v>80</v>
      </c>
      <c r="H6" s="61" t="s">
        <v>80</v>
      </c>
      <c r="I6" s="61" t="s">
        <v>80</v>
      </c>
      <c r="J6" s="60" t="s">
        <v>80</v>
      </c>
      <c r="K6" s="26"/>
      <c r="L6" s="26"/>
      <c r="M6" s="26"/>
      <c r="N6" s="26"/>
      <c r="O6" s="26"/>
      <c r="P6" s="54" t="s">
        <v>80</v>
      </c>
      <c r="Q6" s="54" t="s">
        <v>80</v>
      </c>
      <c r="R6" s="55" t="s">
        <v>80</v>
      </c>
      <c r="S6" s="55" t="s">
        <v>80</v>
      </c>
      <c r="T6" s="55" t="s">
        <v>80</v>
      </c>
      <c r="U6" s="55" t="s">
        <v>80</v>
      </c>
      <c r="V6" s="66" t="s">
        <v>80</v>
      </c>
      <c r="X6" s="66" t="s">
        <v>80</v>
      </c>
      <c r="Y6" s="66" t="s">
        <v>80</v>
      </c>
      <c r="Z6" s="5" t="s">
        <v>80</v>
      </c>
      <c r="AA6" s="5" t="s">
        <v>80</v>
      </c>
      <c r="AE6" s="5">
        <v>10</v>
      </c>
      <c r="AF6" s="9">
        <v>10</v>
      </c>
      <c r="AG6" s="5">
        <v>5</v>
      </c>
      <c r="AL6" s="9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</row>
    <row r="7" spans="1:75" ht="30" hidden="1" customHeight="1">
      <c r="A7" s="7" t="s">
        <v>72</v>
      </c>
      <c r="B7" s="31" t="s">
        <v>73</v>
      </c>
      <c r="C7" s="31" t="s">
        <v>81</v>
      </c>
      <c r="D7" s="31" t="s">
        <v>78</v>
      </c>
      <c r="E7" s="8" t="s">
        <v>79</v>
      </c>
      <c r="F7" s="61"/>
      <c r="G7" s="61"/>
      <c r="H7" s="61"/>
      <c r="I7" s="61"/>
      <c r="J7" s="60"/>
      <c r="K7" s="26"/>
      <c r="L7" s="26"/>
      <c r="M7" s="26"/>
      <c r="N7" s="26"/>
      <c r="O7" s="26"/>
      <c r="P7" s="26"/>
      <c r="Q7" s="26"/>
      <c r="R7" s="26"/>
      <c r="S7" s="26"/>
      <c r="T7" s="1"/>
      <c r="U7" s="20"/>
      <c r="W7" s="26"/>
      <c r="X7" s="26"/>
      <c r="Z7" s="5" t="s">
        <v>80</v>
      </c>
      <c r="AL7" s="9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</row>
    <row r="8" spans="1:75" ht="30" hidden="1" customHeight="1">
      <c r="A8" s="7" t="s">
        <v>72</v>
      </c>
      <c r="B8" s="31" t="s">
        <v>73</v>
      </c>
      <c r="C8" s="31" t="s">
        <v>81</v>
      </c>
      <c r="D8" s="31" t="s">
        <v>75</v>
      </c>
      <c r="E8" s="8" t="s">
        <v>76</v>
      </c>
      <c r="F8" s="61"/>
      <c r="G8" s="61"/>
      <c r="H8" s="61"/>
      <c r="I8" s="61"/>
      <c r="J8" s="60"/>
      <c r="K8" s="26"/>
      <c r="L8" s="26"/>
      <c r="M8" s="26"/>
      <c r="N8" s="26"/>
      <c r="O8" s="26"/>
      <c r="P8" s="26"/>
      <c r="Q8" s="26"/>
      <c r="R8" s="26"/>
      <c r="S8" s="26"/>
      <c r="T8" s="1"/>
      <c r="U8" s="20"/>
      <c r="V8" s="9"/>
      <c r="W8" s="26"/>
      <c r="X8" s="26"/>
      <c r="Y8" s="57"/>
      <c r="AL8" s="9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</row>
    <row r="9" spans="1:75" ht="30" hidden="1" customHeight="1">
      <c r="A9" s="7" t="s">
        <v>82</v>
      </c>
      <c r="B9" s="31" t="s">
        <v>83</v>
      </c>
      <c r="C9" s="31" t="s">
        <v>84</v>
      </c>
      <c r="D9" s="31" t="s">
        <v>75</v>
      </c>
      <c r="E9" s="8" t="s">
        <v>85</v>
      </c>
      <c r="F9" s="61"/>
      <c r="G9" s="61"/>
      <c r="H9" s="61"/>
      <c r="I9" s="61"/>
      <c r="J9" s="60"/>
      <c r="K9" s="26"/>
      <c r="L9" s="26"/>
      <c r="M9" s="26"/>
      <c r="N9" s="26"/>
      <c r="O9" s="26"/>
      <c r="P9" s="26"/>
      <c r="Q9" s="26"/>
      <c r="R9" s="26"/>
      <c r="S9" s="26"/>
      <c r="T9" s="1"/>
      <c r="U9" s="20"/>
      <c r="V9" s="9"/>
      <c r="W9" s="26"/>
      <c r="X9" s="26"/>
      <c r="Y9" s="57"/>
      <c r="AK9" s="5">
        <v>9</v>
      </c>
      <c r="AL9" s="9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</row>
    <row r="10" spans="1:75" ht="30" hidden="1" customHeight="1">
      <c r="A10" s="7" t="s">
        <v>72</v>
      </c>
      <c r="B10" s="31" t="s">
        <v>73</v>
      </c>
      <c r="C10" s="31" t="s">
        <v>86</v>
      </c>
      <c r="D10" s="31" t="s">
        <v>78</v>
      </c>
      <c r="E10" s="8" t="s">
        <v>76</v>
      </c>
      <c r="F10" s="61"/>
      <c r="G10" s="61"/>
      <c r="H10" s="61"/>
      <c r="I10" s="61"/>
      <c r="J10" s="60"/>
      <c r="K10" s="26"/>
      <c r="L10" s="26"/>
      <c r="M10" s="26"/>
      <c r="N10" s="26"/>
      <c r="O10" s="26"/>
      <c r="P10" s="26"/>
      <c r="Q10" s="26"/>
      <c r="R10" s="26"/>
      <c r="S10" s="26"/>
      <c r="T10" s="1"/>
      <c r="U10" s="20"/>
      <c r="V10" s="9"/>
      <c r="W10" s="26"/>
      <c r="X10" s="26"/>
      <c r="Y10" s="57"/>
      <c r="AC10" s="5">
        <v>45</v>
      </c>
      <c r="AD10" s="5">
        <v>45</v>
      </c>
      <c r="AE10" s="5">
        <v>35</v>
      </c>
      <c r="AF10" s="9">
        <v>25</v>
      </c>
      <c r="AG10" s="5">
        <v>30</v>
      </c>
      <c r="AK10" s="5">
        <v>9</v>
      </c>
      <c r="AL10" s="9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</row>
    <row r="11" spans="1:75" ht="30" hidden="1" customHeight="1">
      <c r="A11" s="7" t="s">
        <v>72</v>
      </c>
      <c r="B11" s="31" t="s">
        <v>73</v>
      </c>
      <c r="C11" s="31" t="s">
        <v>87</v>
      </c>
      <c r="D11" s="31" t="s">
        <v>88</v>
      </c>
      <c r="E11" s="8" t="s">
        <v>79</v>
      </c>
      <c r="F11" s="61"/>
      <c r="G11" s="61"/>
      <c r="H11" s="61"/>
      <c r="I11" s="61"/>
      <c r="J11" s="60"/>
      <c r="K11" s="26"/>
      <c r="L11" s="26"/>
      <c r="M11" s="26"/>
      <c r="N11" s="26"/>
      <c r="O11" s="26"/>
      <c r="P11" s="26"/>
      <c r="Q11" s="26"/>
      <c r="R11" s="26"/>
      <c r="S11" s="26"/>
      <c r="T11" s="1"/>
      <c r="U11" s="20"/>
      <c r="V11" s="9"/>
      <c r="W11" s="26"/>
      <c r="X11" s="26"/>
      <c r="Y11" s="57"/>
      <c r="Z11" s="5" t="s">
        <v>89</v>
      </c>
      <c r="AD11" s="5" t="s">
        <v>89</v>
      </c>
      <c r="AL11" s="9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</row>
    <row r="12" spans="1:75" ht="30" hidden="1" customHeight="1">
      <c r="A12" s="7" t="s">
        <v>72</v>
      </c>
      <c r="B12" s="31" t="s">
        <v>73</v>
      </c>
      <c r="C12" s="31" t="s">
        <v>90</v>
      </c>
      <c r="D12" s="31" t="s">
        <v>88</v>
      </c>
      <c r="E12" s="8" t="s">
        <v>76</v>
      </c>
      <c r="F12" s="61"/>
      <c r="G12" s="61"/>
      <c r="H12" s="61"/>
      <c r="I12" s="61"/>
      <c r="J12" s="60"/>
      <c r="K12" s="26"/>
      <c r="L12" s="26"/>
      <c r="M12" s="26"/>
      <c r="N12" s="26"/>
      <c r="O12" s="26"/>
      <c r="P12" s="26"/>
      <c r="Q12" s="26"/>
      <c r="R12" s="26"/>
      <c r="S12" s="26"/>
      <c r="T12" s="1"/>
      <c r="U12" s="20"/>
      <c r="V12" s="9"/>
      <c r="W12" s="64"/>
      <c r="X12" s="64"/>
      <c r="Y12" s="57"/>
      <c r="AK12" s="5">
        <v>30</v>
      </c>
      <c r="AL12" s="9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</row>
    <row r="13" spans="1:75" ht="30" hidden="1" customHeight="1">
      <c r="A13" s="7" t="s">
        <v>72</v>
      </c>
      <c r="B13" s="31" t="s">
        <v>73</v>
      </c>
      <c r="C13" s="31" t="s">
        <v>91</v>
      </c>
      <c r="D13" s="31" t="s">
        <v>92</v>
      </c>
      <c r="E13" s="8" t="s">
        <v>76</v>
      </c>
      <c r="F13" s="61" t="s">
        <v>93</v>
      </c>
      <c r="G13" s="61" t="s">
        <v>93</v>
      </c>
      <c r="H13" s="61" t="s">
        <v>93</v>
      </c>
      <c r="J13" s="32"/>
      <c r="K13" s="26"/>
      <c r="L13" s="26"/>
      <c r="M13" s="26"/>
      <c r="N13" s="26"/>
      <c r="O13" s="26"/>
      <c r="P13" s="26"/>
      <c r="Q13" s="26"/>
      <c r="R13" s="26"/>
      <c r="S13" s="26"/>
      <c r="T13" s="1"/>
      <c r="U13" s="20"/>
      <c r="W13" s="45"/>
      <c r="X13" s="45"/>
      <c r="AL13" s="9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</row>
    <row r="14" spans="1:75" ht="30" hidden="1" customHeight="1">
      <c r="A14" s="7" t="s">
        <v>72</v>
      </c>
      <c r="B14" s="31" t="s">
        <v>73</v>
      </c>
      <c r="C14" s="31" t="s">
        <v>94</v>
      </c>
      <c r="D14" s="31" t="s">
        <v>95</v>
      </c>
      <c r="E14" s="8" t="s">
        <v>76</v>
      </c>
      <c r="F14" s="61" t="s">
        <v>80</v>
      </c>
      <c r="G14" s="61" t="s">
        <v>93</v>
      </c>
      <c r="H14" s="61" t="s">
        <v>93</v>
      </c>
      <c r="I14" s="54" t="s">
        <v>93</v>
      </c>
      <c r="J14" s="54" t="s">
        <v>93</v>
      </c>
      <c r="K14" s="26"/>
      <c r="L14" s="26"/>
      <c r="M14" s="26"/>
      <c r="N14" s="26"/>
      <c r="O14" s="26"/>
      <c r="P14" s="26"/>
      <c r="Q14" s="26"/>
      <c r="R14" s="26"/>
      <c r="S14" s="26"/>
      <c r="T14" s="1"/>
      <c r="U14" s="20"/>
      <c r="W14" s="5"/>
      <c r="X14" s="5" t="s">
        <v>93</v>
      </c>
      <c r="Y14" s="5" t="s">
        <v>96</v>
      </c>
      <c r="Z14" s="5" t="s">
        <v>96</v>
      </c>
      <c r="AE14" s="5" t="s">
        <v>96</v>
      </c>
      <c r="AF14" s="9">
        <v>10</v>
      </c>
      <c r="AL14" s="9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</row>
    <row r="15" spans="1:75" ht="30" hidden="1" customHeight="1">
      <c r="A15" s="7" t="s">
        <v>72</v>
      </c>
      <c r="B15" s="31" t="s">
        <v>73</v>
      </c>
      <c r="C15" s="31" t="s">
        <v>97</v>
      </c>
      <c r="D15" s="31" t="s">
        <v>98</v>
      </c>
      <c r="E15" s="8" t="s">
        <v>76</v>
      </c>
      <c r="F15" s="61"/>
      <c r="G15" s="61"/>
      <c r="H15" s="61"/>
      <c r="I15" s="54"/>
      <c r="J15" s="54"/>
      <c r="K15" s="26"/>
      <c r="L15" s="26"/>
      <c r="M15" s="26"/>
      <c r="N15" s="26"/>
      <c r="O15" s="26"/>
      <c r="P15" s="26"/>
      <c r="Q15" s="26"/>
      <c r="R15" s="26"/>
      <c r="S15" s="32"/>
      <c r="T15" s="1"/>
      <c r="U15" s="74"/>
      <c r="AF15" s="9">
        <v>5</v>
      </c>
      <c r="AL15" s="9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</row>
    <row r="16" spans="1:75" ht="30" hidden="1" customHeight="1">
      <c r="A16" s="7" t="s">
        <v>72</v>
      </c>
      <c r="B16" s="31" t="s">
        <v>73</v>
      </c>
      <c r="C16" s="31" t="s">
        <v>99</v>
      </c>
      <c r="D16" s="31" t="s">
        <v>100</v>
      </c>
      <c r="E16" s="8" t="s">
        <v>76</v>
      </c>
      <c r="F16" s="61" t="s">
        <v>101</v>
      </c>
      <c r="G16" s="61" t="s">
        <v>101</v>
      </c>
      <c r="H16" s="61" t="s">
        <v>101</v>
      </c>
      <c r="I16" s="54" t="s">
        <v>101</v>
      </c>
      <c r="J16" s="26"/>
      <c r="K16" s="26"/>
      <c r="L16" s="26"/>
      <c r="M16" s="26"/>
      <c r="N16" s="26"/>
      <c r="O16" s="26"/>
      <c r="P16" s="26"/>
      <c r="Q16" s="26"/>
      <c r="R16" s="26"/>
      <c r="Y16" s="66" t="s">
        <v>101</v>
      </c>
      <c r="AL16" s="9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</row>
    <row r="17" spans="1:75" ht="30" hidden="1" customHeight="1">
      <c r="A17" s="7" t="s">
        <v>72</v>
      </c>
      <c r="B17" s="31" t="s">
        <v>73</v>
      </c>
      <c r="C17" s="31" t="s">
        <v>102</v>
      </c>
      <c r="D17" s="31" t="s">
        <v>92</v>
      </c>
      <c r="E17" s="8" t="s">
        <v>76</v>
      </c>
      <c r="F17" s="26"/>
      <c r="G17" s="26"/>
      <c r="H17" s="26"/>
      <c r="I17" s="26"/>
      <c r="K17" s="26"/>
      <c r="L17" s="26"/>
      <c r="M17" s="26"/>
      <c r="N17" s="26"/>
      <c r="O17" s="26"/>
      <c r="P17" s="26"/>
      <c r="Q17" s="26"/>
      <c r="R17" s="26"/>
      <c r="AL17" s="9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</row>
    <row r="18" spans="1:75" ht="30" hidden="1" customHeight="1">
      <c r="A18" s="7" t="s">
        <v>72</v>
      </c>
      <c r="B18" s="31" t="s">
        <v>73</v>
      </c>
      <c r="C18" s="31" t="s">
        <v>103</v>
      </c>
      <c r="D18" s="31" t="s">
        <v>104</v>
      </c>
      <c r="E18" s="8" t="s">
        <v>105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AE18" s="5" t="s">
        <v>101</v>
      </c>
      <c r="AF18" s="9">
        <v>5</v>
      </c>
      <c r="AL18" s="9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</row>
    <row r="19" spans="1:75" ht="30" hidden="1" customHeight="1">
      <c r="A19" s="7" t="s">
        <v>72</v>
      </c>
      <c r="B19" s="31" t="s">
        <v>73</v>
      </c>
      <c r="C19" s="31" t="s">
        <v>106</v>
      </c>
      <c r="D19" s="31" t="s">
        <v>100</v>
      </c>
      <c r="E19" s="8" t="s">
        <v>79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54" t="s">
        <v>101</v>
      </c>
      <c r="R19" s="26"/>
      <c r="T19" s="65" t="s">
        <v>101</v>
      </c>
      <c r="U19" s="66" t="s">
        <v>101</v>
      </c>
      <c r="V19" s="66" t="s">
        <v>101</v>
      </c>
      <c r="X19" s="66" t="s">
        <v>101</v>
      </c>
      <c r="Z19" s="5" t="s">
        <v>101</v>
      </c>
      <c r="AA19" s="5" t="s">
        <v>101</v>
      </c>
      <c r="AL19" s="9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</row>
    <row r="20" spans="1:75" ht="30" hidden="1" customHeight="1">
      <c r="A20" s="7" t="s">
        <v>72</v>
      </c>
      <c r="B20" s="31" t="s">
        <v>73</v>
      </c>
      <c r="C20" s="31" t="s">
        <v>107</v>
      </c>
      <c r="D20" s="31" t="s">
        <v>92</v>
      </c>
      <c r="E20" s="8" t="s">
        <v>92</v>
      </c>
      <c r="F20" s="32"/>
      <c r="G20" s="32"/>
      <c r="H20" s="32"/>
      <c r="I20" s="32"/>
      <c r="J20" s="32"/>
      <c r="K20" s="26"/>
      <c r="L20" s="26"/>
      <c r="M20" s="26"/>
      <c r="N20" s="26"/>
      <c r="O20" s="26"/>
      <c r="P20" s="26"/>
      <c r="Q20" s="26"/>
      <c r="R20" s="26"/>
      <c r="AL20" s="9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</row>
    <row r="21" spans="1:75" ht="30" hidden="1" customHeight="1">
      <c r="A21" s="7" t="s">
        <v>72</v>
      </c>
      <c r="B21" s="31" t="s">
        <v>73</v>
      </c>
      <c r="C21" s="31" t="s">
        <v>108</v>
      </c>
      <c r="D21" s="31" t="s">
        <v>109</v>
      </c>
      <c r="E21" s="8" t="s">
        <v>79</v>
      </c>
      <c r="F21" s="32"/>
      <c r="G21" s="32"/>
      <c r="H21" s="32"/>
      <c r="I21" s="32"/>
      <c r="J21" s="32"/>
      <c r="K21" s="26"/>
      <c r="L21" s="26"/>
      <c r="M21" s="26"/>
      <c r="N21" s="26"/>
      <c r="O21" s="26"/>
      <c r="P21" s="26"/>
      <c r="Q21" s="26"/>
      <c r="R21" s="26"/>
      <c r="X21" s="5" t="s">
        <v>89</v>
      </c>
      <c r="Y21" s="5" t="s">
        <v>93</v>
      </c>
      <c r="AI21" s="5">
        <v>27</v>
      </c>
      <c r="AL21" s="9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</row>
    <row r="22" spans="1:75" ht="30" hidden="1" customHeight="1">
      <c r="A22" s="7" t="s">
        <v>72</v>
      </c>
      <c r="B22" s="31" t="s">
        <v>73</v>
      </c>
      <c r="C22" s="31" t="s">
        <v>110</v>
      </c>
      <c r="D22" s="31" t="s">
        <v>100</v>
      </c>
      <c r="E22" s="8" t="s">
        <v>79</v>
      </c>
      <c r="F22" s="32"/>
      <c r="G22" s="32"/>
      <c r="H22" s="32"/>
      <c r="I22" s="32"/>
      <c r="J22" s="32"/>
      <c r="K22" s="26"/>
      <c r="L22" s="26"/>
      <c r="M22" s="26"/>
      <c r="N22" s="26"/>
      <c r="O22" s="26"/>
      <c r="P22" s="26"/>
      <c r="Q22" s="26"/>
      <c r="R22" s="26"/>
      <c r="V22" s="68" t="s">
        <v>101</v>
      </c>
      <c r="X22" s="5" t="s">
        <v>101</v>
      </c>
      <c r="AL22" s="9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</row>
    <row r="23" spans="1:75" ht="30" hidden="1" customHeight="1">
      <c r="A23" s="7" t="s">
        <v>72</v>
      </c>
      <c r="B23" s="31" t="s">
        <v>73</v>
      </c>
      <c r="C23" s="31" t="s">
        <v>111</v>
      </c>
      <c r="D23" s="31" t="s">
        <v>95</v>
      </c>
      <c r="E23" s="8" t="s">
        <v>76</v>
      </c>
      <c r="K23" s="26"/>
      <c r="L23" s="26"/>
      <c r="M23" s="26"/>
      <c r="N23" s="26"/>
      <c r="O23" s="26"/>
      <c r="P23" s="26"/>
      <c r="Q23" s="26"/>
      <c r="R23" s="26"/>
      <c r="X23" s="5" t="s">
        <v>96</v>
      </c>
      <c r="Z23" s="5" t="s">
        <v>96</v>
      </c>
      <c r="AA23" s="5" t="s">
        <v>96</v>
      </c>
      <c r="AE23" s="5" t="s">
        <v>96</v>
      </c>
      <c r="AF23" s="9">
        <v>15</v>
      </c>
      <c r="AG23" s="5">
        <v>45</v>
      </c>
      <c r="AH23" s="5">
        <v>27</v>
      </c>
      <c r="AI23" s="5">
        <v>27</v>
      </c>
      <c r="AJ23" s="5">
        <v>27</v>
      </c>
      <c r="AK23" s="5">
        <v>18</v>
      </c>
      <c r="AL23" s="9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</row>
    <row r="24" spans="1:75" ht="30" hidden="1" customHeight="1">
      <c r="A24" s="7" t="s">
        <v>72</v>
      </c>
      <c r="B24" s="31" t="s">
        <v>73</v>
      </c>
      <c r="C24" s="31" t="s">
        <v>112</v>
      </c>
      <c r="D24" s="31" t="s">
        <v>95</v>
      </c>
      <c r="E24" s="8" t="s">
        <v>79</v>
      </c>
      <c r="K24" s="26"/>
      <c r="L24" s="26"/>
      <c r="M24" s="26"/>
      <c r="N24" s="26"/>
      <c r="O24" s="26"/>
      <c r="P24" s="26"/>
      <c r="Q24" s="26"/>
      <c r="R24" s="26"/>
      <c r="U24" s="5" t="s">
        <v>89</v>
      </c>
      <c r="AL24" s="9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</row>
    <row r="25" spans="1:75" ht="30" hidden="1" customHeight="1">
      <c r="A25" s="7" t="s">
        <v>72</v>
      </c>
      <c r="B25" s="31" t="s">
        <v>73</v>
      </c>
      <c r="C25" s="31" t="s">
        <v>112</v>
      </c>
      <c r="D25" s="31" t="s">
        <v>95</v>
      </c>
      <c r="E25" s="8" t="s">
        <v>79</v>
      </c>
      <c r="K25" s="26"/>
      <c r="L25" s="26"/>
      <c r="M25" s="26"/>
      <c r="N25" s="26"/>
      <c r="O25" s="26"/>
      <c r="P25" s="26"/>
      <c r="Q25" s="26"/>
      <c r="R25" s="26"/>
      <c r="U25" s="66" t="s">
        <v>96</v>
      </c>
      <c r="V25" s="66" t="s">
        <v>96</v>
      </c>
      <c r="Z25" s="5" t="s">
        <v>96</v>
      </c>
      <c r="AL25" s="9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</row>
    <row r="26" spans="1:75" ht="30" hidden="1" customHeight="1">
      <c r="A26" s="7" t="s">
        <v>72</v>
      </c>
      <c r="B26" s="31" t="s">
        <v>73</v>
      </c>
      <c r="C26" s="31" t="s">
        <v>113</v>
      </c>
      <c r="D26" s="31" t="s">
        <v>95</v>
      </c>
      <c r="E26" s="8" t="s">
        <v>76</v>
      </c>
      <c r="K26" s="26"/>
      <c r="L26" s="26"/>
      <c r="M26" s="26"/>
      <c r="N26" s="26"/>
      <c r="O26" s="26"/>
      <c r="P26" s="26"/>
      <c r="Q26" s="26"/>
      <c r="R26" s="26"/>
      <c r="U26" s="66"/>
      <c r="V26" s="66"/>
      <c r="AK26" s="5">
        <v>18</v>
      </c>
      <c r="AL26" s="9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</row>
    <row r="27" spans="1:75" ht="30" hidden="1" customHeight="1">
      <c r="A27" s="7" t="s">
        <v>72</v>
      </c>
      <c r="B27" s="31" t="s">
        <v>114</v>
      </c>
      <c r="C27" s="31" t="s">
        <v>115</v>
      </c>
      <c r="D27" s="31" t="s">
        <v>95</v>
      </c>
      <c r="E27" s="8" t="s">
        <v>116</v>
      </c>
      <c r="K27" s="26"/>
      <c r="L27" s="26"/>
      <c r="M27" s="26"/>
      <c r="N27" s="26"/>
      <c r="O27" s="26"/>
      <c r="P27" s="26"/>
      <c r="Q27" s="26"/>
      <c r="R27" s="26"/>
      <c r="U27" s="66"/>
      <c r="V27" s="66"/>
      <c r="AL27" s="9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</row>
    <row r="28" spans="1:75" ht="30" hidden="1" customHeight="1">
      <c r="A28" s="7" t="s">
        <v>72</v>
      </c>
      <c r="B28" s="31" t="s">
        <v>73</v>
      </c>
      <c r="C28" s="31" t="s">
        <v>117</v>
      </c>
      <c r="D28" s="31" t="s">
        <v>104</v>
      </c>
      <c r="E28" s="8" t="s">
        <v>79</v>
      </c>
      <c r="K28" s="26"/>
      <c r="L28" s="26"/>
      <c r="M28" s="26"/>
      <c r="N28" s="26"/>
      <c r="O28" s="26"/>
      <c r="P28" s="26"/>
      <c r="Q28" s="26"/>
      <c r="R28" s="26"/>
      <c r="U28" s="66"/>
      <c r="V28" s="66"/>
      <c r="AE28" s="36"/>
      <c r="AF28" s="37"/>
      <c r="AG28" s="36"/>
      <c r="AL28" s="9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</row>
    <row r="29" spans="1:75" ht="30" hidden="1" customHeight="1">
      <c r="A29" s="7" t="s">
        <v>118</v>
      </c>
      <c r="B29" s="31" t="s">
        <v>119</v>
      </c>
      <c r="C29" s="31" t="s">
        <v>120</v>
      </c>
      <c r="D29" s="31" t="s">
        <v>121</v>
      </c>
      <c r="E29" s="8" t="s">
        <v>79</v>
      </c>
      <c r="K29" s="26"/>
      <c r="L29" s="26"/>
      <c r="M29" s="54" t="s">
        <v>93</v>
      </c>
      <c r="N29" s="26"/>
      <c r="O29" s="26"/>
      <c r="P29" s="26"/>
      <c r="Q29" s="26"/>
      <c r="R29" s="26"/>
      <c r="AL29" s="9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</row>
    <row r="30" spans="1:75" ht="30" hidden="1" customHeight="1">
      <c r="A30" s="7" t="s">
        <v>72</v>
      </c>
      <c r="B30" s="31" t="s">
        <v>73</v>
      </c>
      <c r="C30" s="31" t="s">
        <v>122</v>
      </c>
      <c r="D30" s="31" t="s">
        <v>100</v>
      </c>
      <c r="E30" s="8" t="s">
        <v>76</v>
      </c>
      <c r="K30" s="32"/>
      <c r="L30" s="32"/>
      <c r="M30" s="60"/>
      <c r="N30" s="26"/>
      <c r="O30" s="26"/>
      <c r="P30" s="26"/>
      <c r="Q30" s="26"/>
      <c r="R30" s="26"/>
      <c r="AJ30" s="5">
        <v>14</v>
      </c>
      <c r="AL30" s="9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</row>
    <row r="31" spans="1:75" ht="30" hidden="1" customHeight="1">
      <c r="A31" s="7" t="s">
        <v>123</v>
      </c>
      <c r="B31" s="31" t="s">
        <v>124</v>
      </c>
      <c r="C31" s="31" t="s">
        <v>125</v>
      </c>
      <c r="D31" s="31" t="s">
        <v>100</v>
      </c>
      <c r="E31" s="8" t="s">
        <v>76</v>
      </c>
      <c r="I31" s="39"/>
      <c r="J31" s="40"/>
      <c r="K31" s="73"/>
      <c r="L31" s="73"/>
      <c r="M31" s="73"/>
      <c r="N31" s="41"/>
      <c r="O31" s="41"/>
      <c r="P31" s="41"/>
      <c r="Q31" s="41"/>
      <c r="R31" s="41"/>
      <c r="S31" s="42"/>
      <c r="T31" s="42"/>
      <c r="U31" s="43"/>
      <c r="V31" s="43"/>
      <c r="W31" s="44"/>
      <c r="X31" s="43"/>
      <c r="AC31" s="5">
        <v>45</v>
      </c>
      <c r="AE31" s="5">
        <v>20</v>
      </c>
      <c r="AG31" s="5">
        <v>9</v>
      </c>
      <c r="AK31" s="5">
        <v>27</v>
      </c>
      <c r="AL31" s="9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</row>
    <row r="32" spans="1:75" ht="30" hidden="1" customHeight="1">
      <c r="A32" s="7" t="s">
        <v>123</v>
      </c>
      <c r="B32" s="31" t="s">
        <v>124</v>
      </c>
      <c r="C32" s="31" t="s">
        <v>126</v>
      </c>
      <c r="D32" s="31" t="s">
        <v>92</v>
      </c>
      <c r="E32" s="8" t="s">
        <v>116</v>
      </c>
      <c r="J32" s="12"/>
      <c r="K32" s="12"/>
      <c r="L32" s="12"/>
      <c r="M32" s="12"/>
      <c r="N32" s="26"/>
      <c r="O32" s="26"/>
      <c r="P32" s="26"/>
      <c r="Q32" s="34"/>
      <c r="R32" s="34"/>
      <c r="S32" s="35"/>
      <c r="T32" s="35"/>
      <c r="AL32" s="9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</row>
    <row r="33" spans="1:75" ht="30" hidden="1" customHeight="1">
      <c r="A33" s="7" t="s">
        <v>123</v>
      </c>
      <c r="B33" s="31" t="s">
        <v>124</v>
      </c>
      <c r="C33" s="31" t="s">
        <v>127</v>
      </c>
      <c r="D33" s="31" t="s">
        <v>78</v>
      </c>
      <c r="E33" s="8" t="s">
        <v>76</v>
      </c>
      <c r="J33" s="62" t="s">
        <v>80</v>
      </c>
      <c r="K33" s="54" t="s">
        <v>80</v>
      </c>
      <c r="L33" s="54" t="s">
        <v>80</v>
      </c>
      <c r="M33" s="26"/>
      <c r="N33" s="26"/>
      <c r="O33" s="26"/>
      <c r="P33" s="26"/>
      <c r="Q33" s="26"/>
      <c r="R33" s="26"/>
      <c r="U33" s="36"/>
      <c r="V33" s="36"/>
      <c r="W33" s="37"/>
      <c r="X33" s="36"/>
      <c r="AF33" s="9">
        <v>10</v>
      </c>
      <c r="AK33" s="5">
        <v>27</v>
      </c>
      <c r="AL33" s="9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</row>
    <row r="34" spans="1:75" ht="15" hidden="1">
      <c r="A34" s="7" t="s">
        <v>123</v>
      </c>
      <c r="B34" s="31" t="s">
        <v>124</v>
      </c>
      <c r="C34" s="31" t="s">
        <v>91</v>
      </c>
      <c r="D34" s="31" t="s">
        <v>100</v>
      </c>
      <c r="E34" s="8" t="s">
        <v>79</v>
      </c>
      <c r="J34" s="26"/>
      <c r="K34" s="26"/>
      <c r="L34" s="26"/>
      <c r="M34" s="26"/>
      <c r="N34" s="26"/>
      <c r="O34" s="26"/>
      <c r="P34" s="26"/>
      <c r="Q34" s="26"/>
      <c r="R34" s="5"/>
      <c r="S34" s="5"/>
      <c r="T34" s="9"/>
      <c r="Z34" s="1"/>
      <c r="AD34" s="5">
        <v>20</v>
      </c>
      <c r="AG34" s="5">
        <v>4</v>
      </c>
      <c r="AI34" s="5">
        <v>27</v>
      </c>
      <c r="AL34" s="9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</row>
    <row r="35" spans="1:75" ht="15" hidden="1">
      <c r="A35" s="7" t="s">
        <v>123</v>
      </c>
      <c r="B35" s="31" t="s">
        <v>124</v>
      </c>
      <c r="C35" s="31" t="s">
        <v>94</v>
      </c>
      <c r="D35" s="31" t="s">
        <v>100</v>
      </c>
      <c r="E35" s="8" t="s">
        <v>79</v>
      </c>
      <c r="K35" s="26"/>
      <c r="L35" s="26"/>
      <c r="M35" s="26"/>
      <c r="N35" s="26"/>
      <c r="O35" s="26"/>
      <c r="P35" s="26"/>
      <c r="Q35" s="26"/>
      <c r="R35" s="5"/>
      <c r="S35" s="5"/>
      <c r="T35" s="9"/>
      <c r="Z35" s="5">
        <v>45</v>
      </c>
      <c r="AD35" s="5">
        <v>15</v>
      </c>
      <c r="AG35" s="5">
        <v>5</v>
      </c>
      <c r="AL35" s="9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</row>
    <row r="36" spans="1:75" ht="15" hidden="1">
      <c r="A36" s="7" t="s">
        <v>123</v>
      </c>
      <c r="B36" s="31" t="s">
        <v>124</v>
      </c>
      <c r="C36" s="31" t="s">
        <v>128</v>
      </c>
      <c r="D36" s="31" t="s">
        <v>100</v>
      </c>
      <c r="E36" s="8" t="s">
        <v>116</v>
      </c>
      <c r="K36" s="26"/>
      <c r="L36" s="26"/>
      <c r="M36" s="26"/>
      <c r="N36" s="26"/>
      <c r="P36" s="26"/>
      <c r="Q36" s="26"/>
      <c r="R36" s="5"/>
      <c r="S36" s="5"/>
      <c r="T36" s="9"/>
      <c r="AL36" s="9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</row>
    <row r="37" spans="1:75" ht="30" hidden="1">
      <c r="A37" s="7" t="s">
        <v>123</v>
      </c>
      <c r="B37" s="31" t="s">
        <v>124</v>
      </c>
      <c r="C37" s="31" t="s">
        <v>129</v>
      </c>
      <c r="D37" s="31" t="s">
        <v>100</v>
      </c>
      <c r="E37" s="8" t="s">
        <v>79</v>
      </c>
      <c r="K37" s="26"/>
      <c r="L37" s="26"/>
      <c r="M37" s="26"/>
      <c r="N37" s="26"/>
      <c r="O37" s="26"/>
      <c r="Q37" s="26"/>
      <c r="R37" s="5"/>
      <c r="S37" s="5"/>
      <c r="T37" s="9"/>
      <c r="AF37" s="9">
        <v>35</v>
      </c>
      <c r="AL37" s="9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</row>
    <row r="38" spans="1:75" ht="15" hidden="1">
      <c r="A38" s="7" t="s">
        <v>123</v>
      </c>
      <c r="B38" s="31" t="s">
        <v>124</v>
      </c>
      <c r="C38" s="31" t="s">
        <v>102</v>
      </c>
      <c r="D38" s="31" t="s">
        <v>100</v>
      </c>
      <c r="E38" s="8" t="s">
        <v>116</v>
      </c>
      <c r="F38" s="1"/>
      <c r="G38" s="1"/>
      <c r="H38" s="1"/>
      <c r="I38" s="1"/>
      <c r="K38" s="26"/>
      <c r="L38" s="26"/>
      <c r="M38" s="26"/>
      <c r="N38" s="26"/>
      <c r="O38" s="26"/>
      <c r="P38" s="1"/>
      <c r="Q38" s="26"/>
      <c r="R38" s="75"/>
      <c r="S38" s="75"/>
      <c r="T38" s="75"/>
      <c r="U38" s="75"/>
      <c r="AL38" s="9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</row>
    <row r="39" spans="1:75" ht="15" hidden="1">
      <c r="A39" s="7" t="s">
        <v>123</v>
      </c>
      <c r="B39" s="31" t="s">
        <v>124</v>
      </c>
      <c r="C39" s="31" t="s">
        <v>102</v>
      </c>
      <c r="D39" s="31" t="s">
        <v>88</v>
      </c>
      <c r="E39" s="8" t="s">
        <v>116</v>
      </c>
      <c r="F39" s="47"/>
      <c r="G39" s="47"/>
      <c r="H39" s="47"/>
      <c r="I39" s="47"/>
      <c r="J39" s="47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AJ39" s="5">
        <v>36</v>
      </c>
      <c r="AL39" s="9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</row>
    <row r="40" spans="1:75" ht="15" hidden="1">
      <c r="A40" s="7" t="s">
        <v>123</v>
      </c>
      <c r="B40" s="31" t="s">
        <v>124</v>
      </c>
      <c r="C40" s="7" t="s">
        <v>111</v>
      </c>
      <c r="D40" s="7" t="s">
        <v>121</v>
      </c>
      <c r="E40" s="8" t="s">
        <v>79</v>
      </c>
      <c r="F40" s="47"/>
      <c r="G40" s="47"/>
      <c r="H40" s="47"/>
      <c r="I40" s="47"/>
      <c r="J40" s="47"/>
      <c r="K40" s="26"/>
      <c r="L40" s="26"/>
      <c r="M40" s="26"/>
      <c r="N40" s="26"/>
      <c r="O40" s="26"/>
      <c r="P40" s="26"/>
      <c r="Q40" s="26"/>
      <c r="R40" s="26"/>
      <c r="S40" s="26"/>
      <c r="T40" s="26" t="s">
        <v>96</v>
      </c>
      <c r="U40" s="64"/>
      <c r="AL40" s="9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</row>
    <row r="41" spans="1:75" ht="30" hidden="1">
      <c r="A41" s="7" t="s">
        <v>130</v>
      </c>
      <c r="B41" s="31" t="s">
        <v>131</v>
      </c>
      <c r="C41" s="31" t="s">
        <v>91</v>
      </c>
      <c r="D41" s="31" t="s">
        <v>92</v>
      </c>
      <c r="E41" s="8" t="s">
        <v>116</v>
      </c>
      <c r="G41" s="1"/>
      <c r="H41" s="47"/>
      <c r="I41" s="47"/>
      <c r="J41" s="47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53"/>
      <c r="V41" s="41"/>
      <c r="W41" s="41"/>
      <c r="X41" s="41"/>
      <c r="Y41" s="41"/>
      <c r="Z41" s="43"/>
      <c r="AA41" s="43"/>
      <c r="AL41" s="9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</row>
    <row r="42" spans="1:75" ht="29.1" hidden="1">
      <c r="A42" s="7" t="s">
        <v>130</v>
      </c>
      <c r="B42" s="31" t="s">
        <v>131</v>
      </c>
      <c r="C42" s="31" t="s">
        <v>94</v>
      </c>
      <c r="D42" s="31" t="s">
        <v>121</v>
      </c>
      <c r="E42" s="8" t="s">
        <v>76</v>
      </c>
      <c r="G42" s="1"/>
      <c r="H42" s="47"/>
      <c r="I42" s="47"/>
      <c r="J42" s="47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53"/>
      <c r="V42" s="41"/>
      <c r="W42" s="41"/>
      <c r="X42" s="41"/>
      <c r="Y42" s="41"/>
      <c r="Z42" s="43" t="s">
        <v>101</v>
      </c>
      <c r="AA42" s="43"/>
      <c r="AE42" s="5" t="s">
        <v>101</v>
      </c>
      <c r="AF42" s="9" t="s">
        <v>101</v>
      </c>
      <c r="AG42" s="5" t="s">
        <v>101</v>
      </c>
      <c r="AH42" s="5" t="s">
        <v>101</v>
      </c>
      <c r="AI42" s="5" t="s">
        <v>101</v>
      </c>
      <c r="AJ42" s="5" t="s">
        <v>101</v>
      </c>
      <c r="AK42" s="5" t="s">
        <v>101</v>
      </c>
      <c r="AL42" s="9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</row>
    <row r="43" spans="1:75" ht="15" hidden="1">
      <c r="A43" s="7" t="s">
        <v>132</v>
      </c>
      <c r="B43" s="31" t="s">
        <v>133</v>
      </c>
      <c r="C43" s="31" t="s">
        <v>134</v>
      </c>
      <c r="D43" s="31" t="s">
        <v>104</v>
      </c>
      <c r="E43" s="8" t="s">
        <v>79</v>
      </c>
      <c r="G43" s="1"/>
      <c r="H43" s="47"/>
      <c r="I43" s="47"/>
      <c r="J43" s="47"/>
      <c r="K43" s="26"/>
      <c r="L43" s="26"/>
      <c r="M43" s="26"/>
      <c r="N43" s="26"/>
      <c r="O43" s="26"/>
      <c r="P43" s="26"/>
      <c r="Q43" s="26"/>
      <c r="R43" s="26"/>
      <c r="S43" s="26" t="s">
        <v>101</v>
      </c>
      <c r="T43" s="46"/>
      <c r="U43" s="63"/>
      <c r="V43" s="63"/>
      <c r="W43" s="63"/>
      <c r="X43" s="63"/>
      <c r="Y43" s="63"/>
      <c r="Z43" s="58"/>
      <c r="AA43" s="43"/>
      <c r="AL43" s="9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</row>
    <row r="44" spans="1:75" ht="15" hidden="1">
      <c r="A44" s="7" t="s">
        <v>135</v>
      </c>
      <c r="B44" s="31" t="s">
        <v>136</v>
      </c>
      <c r="C44" s="31" t="s">
        <v>137</v>
      </c>
      <c r="D44" s="31" t="s">
        <v>100</v>
      </c>
      <c r="E44" s="8" t="s">
        <v>79</v>
      </c>
      <c r="G44" s="1"/>
      <c r="H44" s="47"/>
      <c r="I44" s="47"/>
      <c r="J44" s="26"/>
      <c r="K44" s="54" t="s">
        <v>101</v>
      </c>
      <c r="L44" s="54" t="s">
        <v>101</v>
      </c>
      <c r="M44" s="54" t="s">
        <v>101</v>
      </c>
      <c r="N44" s="54" t="s">
        <v>101</v>
      </c>
      <c r="O44" s="54" t="s">
        <v>101</v>
      </c>
      <c r="P44" s="54" t="s">
        <v>101</v>
      </c>
      <c r="Q44" s="54" t="s">
        <v>101</v>
      </c>
      <c r="R44" s="54" t="s">
        <v>101</v>
      </c>
      <c r="S44" s="47" t="s">
        <v>101</v>
      </c>
      <c r="T44" s="59" t="s">
        <v>101</v>
      </c>
      <c r="U44" s="50"/>
      <c r="V44" s="45"/>
      <c r="W44" s="49"/>
      <c r="X44" s="45"/>
      <c r="Y44" s="45"/>
      <c r="Z44" s="5" t="s">
        <v>101</v>
      </c>
      <c r="AL44" s="9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</row>
    <row r="45" spans="1:75" ht="15" hidden="1">
      <c r="A45" s="7" t="s">
        <v>135</v>
      </c>
      <c r="B45" s="31" t="s">
        <v>136</v>
      </c>
      <c r="C45" s="31" t="s">
        <v>138</v>
      </c>
      <c r="D45" s="31" t="s">
        <v>100</v>
      </c>
      <c r="E45" s="8" t="s">
        <v>79</v>
      </c>
      <c r="F45" s="1"/>
      <c r="G45" s="51"/>
      <c r="H45" s="47"/>
      <c r="I45" s="47"/>
      <c r="J45" s="26"/>
      <c r="K45" s="26"/>
      <c r="L45" s="26"/>
      <c r="M45" s="55" t="s">
        <v>101</v>
      </c>
      <c r="N45" s="47"/>
      <c r="O45" s="26"/>
      <c r="P45" s="47"/>
      <c r="Q45" s="47"/>
      <c r="R45" s="26"/>
      <c r="S45" s="47"/>
      <c r="T45" s="47"/>
      <c r="U45" s="56"/>
      <c r="V45" s="47"/>
      <c r="W45" s="47"/>
      <c r="X45" s="47"/>
      <c r="Y45" s="47"/>
      <c r="AB45" s="9"/>
      <c r="AL45" s="9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</row>
    <row r="46" spans="1:75" ht="15" hidden="1">
      <c r="A46" s="7" t="s">
        <v>135</v>
      </c>
      <c r="B46" s="31" t="s">
        <v>136</v>
      </c>
      <c r="C46" s="31" t="s">
        <v>138</v>
      </c>
      <c r="D46" s="31" t="s">
        <v>78</v>
      </c>
      <c r="E46" s="8" t="s">
        <v>79</v>
      </c>
      <c r="F46" s="1"/>
      <c r="G46" s="51"/>
      <c r="H46" s="47"/>
      <c r="I46" s="47"/>
      <c r="J46" s="26"/>
      <c r="K46" s="26"/>
      <c r="L46" s="26"/>
      <c r="M46" s="55" t="s">
        <v>101</v>
      </c>
      <c r="N46" s="47"/>
      <c r="O46" s="26"/>
      <c r="P46" s="47"/>
      <c r="Q46" s="47"/>
      <c r="R46" s="26"/>
      <c r="S46" s="47"/>
      <c r="T46" s="47"/>
      <c r="U46" s="56"/>
      <c r="V46" s="47"/>
      <c r="W46" s="47"/>
      <c r="X46" s="47"/>
      <c r="Y46" s="47"/>
      <c r="AB46" s="9"/>
      <c r="AL46" s="9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</row>
    <row r="47" spans="1:75" ht="30" hidden="1">
      <c r="A47" s="7" t="s">
        <v>139</v>
      </c>
      <c r="B47" s="31" t="s">
        <v>140</v>
      </c>
      <c r="C47" s="7" t="s">
        <v>141</v>
      </c>
      <c r="D47" s="7" t="s">
        <v>109</v>
      </c>
      <c r="E47" s="8" t="s">
        <v>79</v>
      </c>
      <c r="F47" s="1"/>
      <c r="G47" s="52"/>
      <c r="H47" s="47"/>
      <c r="I47" s="47"/>
      <c r="J47" s="55" t="s">
        <v>93</v>
      </c>
      <c r="K47" s="55" t="s">
        <v>93</v>
      </c>
      <c r="L47" s="55" t="s">
        <v>93</v>
      </c>
      <c r="M47" s="55" t="s">
        <v>93</v>
      </c>
      <c r="N47" s="47"/>
      <c r="O47" s="47"/>
      <c r="P47" s="55" t="s">
        <v>93</v>
      </c>
      <c r="Q47" s="55" t="s">
        <v>93</v>
      </c>
      <c r="R47" s="55" t="s">
        <v>93</v>
      </c>
      <c r="S47" s="55" t="s">
        <v>93</v>
      </c>
      <c r="T47" s="55" t="s">
        <v>93</v>
      </c>
      <c r="U47" s="67" t="s">
        <v>93</v>
      </c>
      <c r="V47" s="55" t="s">
        <v>93</v>
      </c>
      <c r="W47" s="55" t="s">
        <v>93</v>
      </c>
      <c r="X47" s="55" t="s">
        <v>93</v>
      </c>
      <c r="Y47" s="55" t="s">
        <v>93</v>
      </c>
      <c r="AA47" s="5" t="s">
        <v>93</v>
      </c>
      <c r="AB47" s="9"/>
      <c r="AC47" s="5">
        <v>10</v>
      </c>
      <c r="AD47" s="5">
        <v>10</v>
      </c>
      <c r="AL47" s="9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</row>
    <row r="48" spans="1:75" ht="15" hidden="1">
      <c r="A48" s="7" t="s">
        <v>139</v>
      </c>
      <c r="B48" s="31" t="s">
        <v>140</v>
      </c>
      <c r="C48" s="31" t="s">
        <v>91</v>
      </c>
      <c r="D48" s="31" t="s">
        <v>88</v>
      </c>
      <c r="E48" s="8" t="s">
        <v>79</v>
      </c>
      <c r="F48" s="1"/>
      <c r="G48" s="47"/>
      <c r="H48" s="47"/>
      <c r="I48" s="47"/>
      <c r="J48" s="47"/>
      <c r="K48" s="55" t="s">
        <v>89</v>
      </c>
      <c r="L48" s="47"/>
      <c r="M48" s="55" t="s">
        <v>89</v>
      </c>
      <c r="N48" s="47"/>
      <c r="O48" s="47"/>
      <c r="P48" s="55" t="s">
        <v>89</v>
      </c>
      <c r="Q48" s="55" t="s">
        <v>89</v>
      </c>
      <c r="R48" s="55" t="s">
        <v>93</v>
      </c>
      <c r="S48" s="47"/>
      <c r="T48" s="47" t="s">
        <v>93</v>
      </c>
      <c r="U48" s="56"/>
      <c r="V48" s="47" t="s">
        <v>93</v>
      </c>
      <c r="W48" s="47" t="s">
        <v>89</v>
      </c>
      <c r="X48" s="57" t="s">
        <v>89</v>
      </c>
      <c r="AB48" s="9"/>
      <c r="AD48" s="5" t="s">
        <v>93</v>
      </c>
      <c r="AL48" s="9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</row>
    <row r="49" spans="1:75" hidden="1">
      <c r="A49" s="7" t="s">
        <v>139</v>
      </c>
      <c r="B49" s="31" t="s">
        <v>142</v>
      </c>
      <c r="C49" s="72" t="s">
        <v>143</v>
      </c>
      <c r="D49" s="72" t="s">
        <v>95</v>
      </c>
      <c r="E49" s="8" t="s">
        <v>76</v>
      </c>
      <c r="F49" s="1"/>
      <c r="G49" s="47"/>
      <c r="H49" s="47"/>
      <c r="I49" s="47"/>
      <c r="J49" s="47"/>
      <c r="K49" s="55"/>
      <c r="L49" s="47"/>
      <c r="M49" s="55"/>
      <c r="N49" s="47"/>
      <c r="O49" s="47"/>
      <c r="P49" s="55"/>
      <c r="Q49" s="55"/>
      <c r="R49" s="55"/>
      <c r="S49" s="47"/>
      <c r="T49" s="47"/>
      <c r="U49" s="56"/>
      <c r="V49" s="47"/>
      <c r="W49" s="47"/>
      <c r="X49" s="57"/>
      <c r="AB49" s="9"/>
      <c r="AF49" s="9">
        <v>20</v>
      </c>
      <c r="AK49" s="5">
        <v>9</v>
      </c>
      <c r="AL49" s="9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</row>
    <row r="50" spans="1:75" ht="30" hidden="1">
      <c r="A50" s="7" t="s">
        <v>135</v>
      </c>
      <c r="B50" s="31" t="s">
        <v>136</v>
      </c>
      <c r="C50" s="76" t="s">
        <v>144</v>
      </c>
      <c r="D50" s="72" t="s">
        <v>88</v>
      </c>
      <c r="E50" s="8" t="s">
        <v>79</v>
      </c>
      <c r="F50" s="1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 t="s">
        <v>89</v>
      </c>
      <c r="T50" s="47" t="s">
        <v>89</v>
      </c>
      <c r="U50" s="56"/>
      <c r="V50" s="47"/>
      <c r="W50" s="47"/>
      <c r="X50" s="57"/>
      <c r="AB50" s="9"/>
      <c r="AL50" s="9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</row>
    <row r="51" spans="1:75" ht="30" hidden="1">
      <c r="A51" s="7" t="s">
        <v>145</v>
      </c>
      <c r="B51" s="31" t="s">
        <v>146</v>
      </c>
      <c r="C51" s="31" t="s">
        <v>141</v>
      </c>
      <c r="D51" s="31" t="s">
        <v>109</v>
      </c>
      <c r="E51" s="8" t="s">
        <v>116</v>
      </c>
      <c r="F51" s="1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26"/>
      <c r="R51" s="26"/>
      <c r="S51" s="47"/>
      <c r="T51" s="47"/>
      <c r="U51" s="56"/>
      <c r="V51" s="47"/>
      <c r="W51" s="47"/>
      <c r="X51" s="57"/>
      <c r="AL51" s="9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</row>
    <row r="52" spans="1:75" ht="15" hidden="1">
      <c r="A52" s="7" t="s">
        <v>145</v>
      </c>
      <c r="B52" s="31" t="s">
        <v>146</v>
      </c>
      <c r="C52" s="31" t="s">
        <v>91</v>
      </c>
      <c r="D52" s="31" t="s">
        <v>109</v>
      </c>
      <c r="E52" s="8" t="s">
        <v>116</v>
      </c>
      <c r="F52" s="1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26"/>
      <c r="R52" s="26"/>
      <c r="S52" s="47"/>
      <c r="T52" s="47"/>
      <c r="U52" s="56"/>
      <c r="V52" s="47"/>
      <c r="W52" s="47"/>
      <c r="X52" s="57"/>
      <c r="AL52" s="9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</row>
    <row r="53" spans="1:75" ht="15" hidden="1">
      <c r="A53" s="7" t="s">
        <v>145</v>
      </c>
      <c r="B53" s="31" t="s">
        <v>146</v>
      </c>
      <c r="C53" s="31" t="s">
        <v>143</v>
      </c>
      <c r="D53" s="31" t="s">
        <v>95</v>
      </c>
      <c r="E53" s="8" t="s">
        <v>116</v>
      </c>
      <c r="F53" s="1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26"/>
      <c r="R53" s="26"/>
      <c r="S53" s="47"/>
      <c r="T53" s="47"/>
      <c r="U53" s="56"/>
      <c r="V53" s="47"/>
      <c r="W53" s="47"/>
      <c r="X53" s="57"/>
      <c r="AI53" s="5">
        <v>18</v>
      </c>
      <c r="AJ53" s="5">
        <v>9</v>
      </c>
      <c r="AL53" s="9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</row>
    <row r="54" spans="1:75" ht="30" hidden="1">
      <c r="A54" s="7" t="s">
        <v>147</v>
      </c>
      <c r="B54" s="31" t="s">
        <v>148</v>
      </c>
      <c r="C54" s="31" t="s">
        <v>141</v>
      </c>
      <c r="D54" s="31" t="s">
        <v>109</v>
      </c>
      <c r="E54" s="8" t="s">
        <v>116</v>
      </c>
      <c r="F54" s="1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26"/>
      <c r="R54" s="26"/>
      <c r="S54" s="47"/>
      <c r="T54" s="47"/>
      <c r="U54" s="50"/>
      <c r="V54" s="45"/>
      <c r="W54" s="49"/>
      <c r="AL54" s="9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</row>
    <row r="55" spans="1:75" ht="15" hidden="1">
      <c r="A55" s="7" t="s">
        <v>147</v>
      </c>
      <c r="B55" s="31" t="s">
        <v>148</v>
      </c>
      <c r="C55" s="31" t="s">
        <v>91</v>
      </c>
      <c r="D55" s="31" t="s">
        <v>109</v>
      </c>
      <c r="E55" s="8" t="s">
        <v>116</v>
      </c>
      <c r="F55" s="1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26"/>
      <c r="R55" s="26"/>
      <c r="S55" s="47"/>
      <c r="T55" s="47"/>
      <c r="U55" s="50"/>
      <c r="V55" s="45"/>
      <c r="W55" s="49"/>
      <c r="AL55" s="9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</row>
    <row r="56" spans="1:75" ht="15" hidden="1">
      <c r="A56" s="7" t="s">
        <v>147</v>
      </c>
      <c r="B56" s="31" t="s">
        <v>148</v>
      </c>
      <c r="C56" s="31" t="s">
        <v>143</v>
      </c>
      <c r="D56" s="31" t="s">
        <v>95</v>
      </c>
      <c r="E56" s="8" t="s">
        <v>116</v>
      </c>
      <c r="F56" s="1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26"/>
      <c r="R56" s="26"/>
      <c r="S56" s="47"/>
      <c r="T56" s="47"/>
      <c r="U56" s="50"/>
      <c r="V56" s="45"/>
      <c r="W56" s="49"/>
      <c r="AL56" s="9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</row>
    <row r="57" spans="1:75" ht="30" hidden="1">
      <c r="A57" s="7" t="s">
        <v>118</v>
      </c>
      <c r="B57" s="31" t="s">
        <v>119</v>
      </c>
      <c r="C57" s="31" t="s">
        <v>149</v>
      </c>
      <c r="D57" s="31" t="s">
        <v>88</v>
      </c>
      <c r="E57" s="10" t="s">
        <v>79</v>
      </c>
      <c r="Q57" s="47"/>
      <c r="R57" s="48" t="s">
        <v>93</v>
      </c>
      <c r="AL57" s="9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</row>
    <row r="58" spans="1:75" ht="30" hidden="1">
      <c r="A58" s="7" t="s">
        <v>130</v>
      </c>
      <c r="B58" s="31" t="s">
        <v>150</v>
      </c>
      <c r="C58" s="31" t="s">
        <v>151</v>
      </c>
      <c r="D58" s="72" t="s">
        <v>104</v>
      </c>
      <c r="E58" s="10" t="s">
        <v>79</v>
      </c>
      <c r="Q58" s="26"/>
      <c r="R58" s="26"/>
      <c r="X58" s="66" t="s">
        <v>89</v>
      </c>
      <c r="Y58" s="66" t="s">
        <v>89</v>
      </c>
      <c r="Z58" s="5" t="s">
        <v>89</v>
      </c>
      <c r="AL58" s="9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</row>
    <row r="59" spans="1:75" ht="30" hidden="1">
      <c r="A59" s="7" t="s">
        <v>118</v>
      </c>
      <c r="B59" s="31" t="s">
        <v>119</v>
      </c>
      <c r="C59" s="31" t="s">
        <v>152</v>
      </c>
      <c r="D59" s="31" t="s">
        <v>100</v>
      </c>
      <c r="E59" s="10" t="s">
        <v>79</v>
      </c>
      <c r="Q59" s="26"/>
      <c r="R59" s="26"/>
      <c r="Z59" s="5" t="s">
        <v>101</v>
      </c>
      <c r="AG59" s="5">
        <v>27</v>
      </c>
      <c r="AJ59" s="5">
        <v>4</v>
      </c>
      <c r="AL59" s="9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</row>
    <row r="60" spans="1:75" ht="30" hidden="1">
      <c r="A60" s="7" t="s">
        <v>130</v>
      </c>
      <c r="B60" s="31" t="s">
        <v>153</v>
      </c>
      <c r="C60" s="31" t="s">
        <v>154</v>
      </c>
      <c r="D60" s="31" t="s">
        <v>100</v>
      </c>
      <c r="E60" s="10" t="s">
        <v>79</v>
      </c>
      <c r="Q60" s="26"/>
      <c r="R60" s="26"/>
      <c r="Y60" s="66" t="s">
        <v>101</v>
      </c>
      <c r="Z60" s="5" t="s">
        <v>101</v>
      </c>
      <c r="AL60" s="9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</row>
    <row r="61" spans="1:75" ht="29.1" hidden="1">
      <c r="A61" s="7" t="s">
        <v>130</v>
      </c>
      <c r="B61" s="31" t="s">
        <v>153</v>
      </c>
      <c r="C61" s="31" t="s">
        <v>154</v>
      </c>
      <c r="D61" s="31" t="s">
        <v>109</v>
      </c>
      <c r="E61" s="10" t="s">
        <v>76</v>
      </c>
      <c r="Q61" s="26"/>
      <c r="R61" s="26"/>
      <c r="AA61" s="5">
        <v>45</v>
      </c>
      <c r="AB61" s="5">
        <v>45</v>
      </c>
      <c r="AC61" s="5">
        <v>35</v>
      </c>
      <c r="AD61" s="5">
        <v>35</v>
      </c>
      <c r="AE61" s="5">
        <v>45</v>
      </c>
      <c r="AF61" s="9">
        <v>45</v>
      </c>
      <c r="AG61" s="5">
        <v>45</v>
      </c>
      <c r="AH61" s="5">
        <v>27</v>
      </c>
      <c r="AI61" s="5">
        <v>18</v>
      </c>
      <c r="AJ61" s="5">
        <v>36</v>
      </c>
      <c r="AK61" s="5">
        <v>45</v>
      </c>
      <c r="AL61" s="9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</row>
    <row r="62" spans="1:75" ht="15" hidden="1">
      <c r="A62" s="7" t="s">
        <v>132</v>
      </c>
      <c r="B62" s="31" t="s">
        <v>133</v>
      </c>
      <c r="C62" s="70" t="s">
        <v>155</v>
      </c>
      <c r="D62" s="31" t="s">
        <v>88</v>
      </c>
      <c r="E62" s="10" t="s">
        <v>79</v>
      </c>
      <c r="Q62" s="26"/>
      <c r="R62" s="26"/>
      <c r="Y62" s="66" t="s">
        <v>89</v>
      </c>
      <c r="Z62" s="5" t="s">
        <v>89</v>
      </c>
      <c r="AA62" s="5" t="s">
        <v>89</v>
      </c>
      <c r="AL62" s="9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</row>
    <row r="63" spans="1:75" ht="15" hidden="1">
      <c r="A63" s="7" t="s">
        <v>132</v>
      </c>
      <c r="B63" s="31" t="s">
        <v>133</v>
      </c>
      <c r="C63" s="70" t="s">
        <v>155</v>
      </c>
      <c r="D63" s="31" t="s">
        <v>109</v>
      </c>
      <c r="E63" s="10" t="s">
        <v>79</v>
      </c>
      <c r="Q63" s="26"/>
      <c r="R63" s="26"/>
      <c r="AL63" s="9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</row>
    <row r="64" spans="1:75" ht="30" hidden="1">
      <c r="A64" s="7" t="s">
        <v>123</v>
      </c>
      <c r="B64" s="31" t="s">
        <v>124</v>
      </c>
      <c r="C64" s="31" t="s">
        <v>156</v>
      </c>
      <c r="D64" s="31" t="s">
        <v>100</v>
      </c>
      <c r="E64" s="10" t="s">
        <v>79</v>
      </c>
      <c r="Q64" s="26"/>
      <c r="R64" s="26"/>
      <c r="AE64" s="5">
        <v>10</v>
      </c>
      <c r="AJ64" s="5">
        <v>18</v>
      </c>
      <c r="AL64" s="9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</row>
    <row r="65" spans="1:75" ht="45" hidden="1">
      <c r="A65" s="7" t="s">
        <v>123</v>
      </c>
      <c r="B65" s="31" t="s">
        <v>124</v>
      </c>
      <c r="C65" s="31" t="s">
        <v>157</v>
      </c>
      <c r="D65" s="31" t="s">
        <v>100</v>
      </c>
      <c r="E65" s="10" t="s">
        <v>79</v>
      </c>
      <c r="Q65" s="26"/>
      <c r="R65" s="26"/>
      <c r="AJ65" s="5">
        <v>9</v>
      </c>
      <c r="AL65" s="9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</row>
    <row r="66" spans="1:75" ht="30" hidden="1">
      <c r="A66" s="7" t="s">
        <v>123</v>
      </c>
      <c r="B66" s="31" t="s">
        <v>124</v>
      </c>
      <c r="C66" s="31" t="s">
        <v>158</v>
      </c>
      <c r="D66" s="31" t="s">
        <v>100</v>
      </c>
      <c r="E66" s="10" t="s">
        <v>79</v>
      </c>
      <c r="Q66" s="26"/>
      <c r="R66" s="26"/>
      <c r="AA66" s="5" t="s">
        <v>89</v>
      </c>
      <c r="AE66" s="5">
        <v>15</v>
      </c>
      <c r="AK66" s="5">
        <v>9</v>
      </c>
      <c r="AL66" s="9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</row>
    <row r="67" spans="1:75" ht="15" hidden="1">
      <c r="A67" s="7" t="s">
        <v>118</v>
      </c>
      <c r="B67" s="31" t="s">
        <v>119</v>
      </c>
      <c r="C67" s="7" t="s">
        <v>159</v>
      </c>
      <c r="D67" s="31" t="s">
        <v>88</v>
      </c>
      <c r="E67" s="71" t="s">
        <v>79</v>
      </c>
      <c r="Q67" s="26"/>
      <c r="R67" s="26"/>
      <c r="AF67" s="9">
        <v>35</v>
      </c>
      <c r="AG67" s="5">
        <v>35</v>
      </c>
      <c r="AL67" s="9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</row>
    <row r="68" spans="1:75" ht="15" hidden="1">
      <c r="A68" s="7" t="s">
        <v>72</v>
      </c>
      <c r="B68" s="31" t="s">
        <v>73</v>
      </c>
      <c r="C68" s="31" t="s">
        <v>160</v>
      </c>
      <c r="D68" s="31" t="s">
        <v>95</v>
      </c>
      <c r="E68" s="8" t="s">
        <v>116</v>
      </c>
      <c r="F68" s="49"/>
      <c r="G68" s="5"/>
      <c r="H68" s="5"/>
      <c r="I68" s="5"/>
      <c r="J68" s="5"/>
      <c r="K68" s="5"/>
      <c r="L68" s="5"/>
      <c r="N68" s="5"/>
      <c r="O68" s="9"/>
      <c r="P68" s="5"/>
      <c r="Q68" s="5"/>
      <c r="R68" s="5"/>
      <c r="S68" s="5"/>
      <c r="T68" s="5"/>
      <c r="U68" s="9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</row>
    <row r="69" spans="1:75" hidden="1">
      <c r="A69" s="7" t="s">
        <v>123</v>
      </c>
      <c r="B69" s="31" t="s">
        <v>124</v>
      </c>
      <c r="C69" s="31" t="s">
        <v>161</v>
      </c>
      <c r="D69" s="31" t="s">
        <v>88</v>
      </c>
      <c r="E69" s="71" t="s">
        <v>76</v>
      </c>
      <c r="AH69" s="5">
        <v>27</v>
      </c>
      <c r="AI69" s="5">
        <v>45</v>
      </c>
      <c r="AK69" s="5">
        <v>6</v>
      </c>
      <c r="AL69" s="9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</row>
    <row r="70" spans="1:75" hidden="1">
      <c r="A70" s="7" t="s">
        <v>130</v>
      </c>
      <c r="B70" s="90" t="s">
        <v>162</v>
      </c>
      <c r="C70" s="90" t="s">
        <v>163</v>
      </c>
      <c r="D70" s="72" t="s">
        <v>100</v>
      </c>
      <c r="E70" s="10" t="s">
        <v>76</v>
      </c>
      <c r="AD70" s="5">
        <v>10</v>
      </c>
      <c r="AI70" s="5">
        <v>9</v>
      </c>
      <c r="AL70" s="9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</row>
    <row r="71" spans="1:75" hidden="1">
      <c r="A71" s="89" t="s">
        <v>130</v>
      </c>
      <c r="B71" s="93" t="s">
        <v>164</v>
      </c>
      <c r="C71" s="93" t="s">
        <v>165</v>
      </c>
      <c r="D71" s="88" t="s">
        <v>78</v>
      </c>
      <c r="E71" s="71" t="s">
        <v>76</v>
      </c>
      <c r="AG71" s="5">
        <v>10</v>
      </c>
      <c r="AK71" s="5">
        <v>9</v>
      </c>
      <c r="AL71" s="9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</row>
    <row r="72" spans="1:75" ht="15" hidden="1">
      <c r="A72" s="89" t="s">
        <v>130</v>
      </c>
      <c r="B72" s="92" t="s">
        <v>166</v>
      </c>
      <c r="C72" s="92" t="s">
        <v>167</v>
      </c>
      <c r="D72" s="31" t="s">
        <v>88</v>
      </c>
      <c r="E72" s="71" t="s">
        <v>79</v>
      </c>
      <c r="AI72" s="5">
        <v>9</v>
      </c>
      <c r="AL72" s="9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</row>
    <row r="73" spans="1:75" ht="45.75">
      <c r="A73" s="69" t="s">
        <v>168</v>
      </c>
      <c r="B73" s="91" t="s">
        <v>169</v>
      </c>
      <c r="C73" s="94" t="s">
        <v>170</v>
      </c>
      <c r="D73" s="87" t="s">
        <v>171</v>
      </c>
      <c r="E73" s="10" t="s">
        <v>76</v>
      </c>
      <c r="AK73" s="5">
        <v>9</v>
      </c>
      <c r="AL73" s="5">
        <v>9</v>
      </c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</row>
    <row r="74" spans="1:75" ht="45.75">
      <c r="A74" s="69" t="s">
        <v>168</v>
      </c>
      <c r="B74" s="87" t="s">
        <v>169</v>
      </c>
      <c r="C74" s="84" t="s">
        <v>172</v>
      </c>
      <c r="D74" s="87" t="s">
        <v>171</v>
      </c>
      <c r="E74" s="10" t="s">
        <v>76</v>
      </c>
      <c r="AK74" s="5">
        <v>9</v>
      </c>
      <c r="AL74" s="5">
        <v>9</v>
      </c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</row>
    <row r="75" spans="1:75" ht="30.75">
      <c r="A75" s="69" t="s">
        <v>168</v>
      </c>
      <c r="B75" s="87" t="s">
        <v>169</v>
      </c>
      <c r="C75" s="85" t="s">
        <v>173</v>
      </c>
      <c r="D75" s="87" t="s">
        <v>171</v>
      </c>
      <c r="E75" s="10" t="s">
        <v>76</v>
      </c>
      <c r="AK75" s="5">
        <v>9</v>
      </c>
      <c r="AL75" s="9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</row>
    <row r="76" spans="1:75" ht="45.75">
      <c r="A76" s="95" t="s">
        <v>168</v>
      </c>
      <c r="B76" s="87" t="s">
        <v>169</v>
      </c>
      <c r="C76" s="86" t="s">
        <v>174</v>
      </c>
      <c r="D76" s="87" t="s">
        <v>171</v>
      </c>
      <c r="E76" s="10" t="s">
        <v>76</v>
      </c>
      <c r="AL76" s="5">
        <v>9</v>
      </c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</row>
    <row r="77" spans="1:75" ht="43.5" hidden="1">
      <c r="A77" s="7" t="s">
        <v>130</v>
      </c>
      <c r="B77" s="7" t="s">
        <v>162</v>
      </c>
      <c r="C77" s="7" t="s">
        <v>175</v>
      </c>
      <c r="D77" s="31" t="s">
        <v>100</v>
      </c>
      <c r="E77" s="10" t="s">
        <v>76</v>
      </c>
      <c r="AK77" s="5">
        <v>9</v>
      </c>
      <c r="AL77" s="9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</row>
    <row r="78" spans="1:75" ht="29.1" hidden="1">
      <c r="A78" s="7" t="s">
        <v>130</v>
      </c>
      <c r="B78" s="7" t="s">
        <v>162</v>
      </c>
      <c r="C78" s="7" t="s">
        <v>176</v>
      </c>
      <c r="D78" s="31" t="s">
        <v>109</v>
      </c>
      <c r="E78" s="10" t="s">
        <v>76</v>
      </c>
      <c r="AJ78" s="5">
        <v>9</v>
      </c>
      <c r="AL78" s="9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</row>
    <row r="79" spans="1:75" ht="30" hidden="1">
      <c r="A79" s="7" t="s">
        <v>130</v>
      </c>
      <c r="B79" s="7" t="s">
        <v>162</v>
      </c>
      <c r="C79" s="7" t="s">
        <v>177</v>
      </c>
      <c r="D79" s="31" t="s">
        <v>100</v>
      </c>
      <c r="E79" s="10" t="s">
        <v>116</v>
      </c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</row>
    <row r="80" spans="1:75" ht="29.1" hidden="1">
      <c r="A80" s="7" t="s">
        <v>130</v>
      </c>
      <c r="B80" s="7" t="s">
        <v>162</v>
      </c>
      <c r="C80" s="7" t="s">
        <v>178</v>
      </c>
      <c r="D80" s="31" t="s">
        <v>109</v>
      </c>
      <c r="E80" s="10" t="s">
        <v>76</v>
      </c>
      <c r="AJ80" s="5">
        <v>9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</row>
    <row r="81" spans="1:75" ht="29.1" hidden="1">
      <c r="A81" s="7" t="s">
        <v>130</v>
      </c>
      <c r="B81" s="7" t="s">
        <v>162</v>
      </c>
      <c r="C81" s="7" t="s">
        <v>179</v>
      </c>
      <c r="D81" s="31" t="s">
        <v>95</v>
      </c>
      <c r="E81" s="10" t="s">
        <v>76</v>
      </c>
      <c r="AJ81" s="5">
        <v>9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 spans="1:75" ht="29.1" hidden="1">
      <c r="A82" s="7" t="s">
        <v>130</v>
      </c>
      <c r="B82" s="7" t="s">
        <v>162</v>
      </c>
      <c r="C82" s="7" t="s">
        <v>180</v>
      </c>
      <c r="D82" s="31" t="s">
        <v>100</v>
      </c>
      <c r="E82" s="10" t="s">
        <v>116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 spans="1:75" ht="29.1" hidden="1">
      <c r="A83" s="7" t="s">
        <v>130</v>
      </c>
      <c r="B83" s="7" t="s">
        <v>162</v>
      </c>
      <c r="C83" s="7" t="s">
        <v>181</v>
      </c>
      <c r="D83" s="31" t="s">
        <v>78</v>
      </c>
      <c r="E83" s="10" t="s">
        <v>76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 spans="1:75" ht="29.1" hidden="1">
      <c r="A84" s="7" t="s">
        <v>130</v>
      </c>
      <c r="B84" s="7" t="s">
        <v>162</v>
      </c>
      <c r="C84" s="7" t="s">
        <v>182</v>
      </c>
      <c r="D84" s="31" t="s">
        <v>75</v>
      </c>
      <c r="E84" s="10" t="s">
        <v>76</v>
      </c>
      <c r="AJ84" s="5">
        <v>18</v>
      </c>
      <c r="AK84" s="5">
        <v>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 spans="1:75" ht="29.1" hidden="1">
      <c r="A85" s="7" t="s">
        <v>130</v>
      </c>
      <c r="B85" s="7" t="s">
        <v>162</v>
      </c>
      <c r="C85" s="7" t="s">
        <v>183</v>
      </c>
      <c r="D85" s="31" t="s">
        <v>75</v>
      </c>
      <c r="E85" s="10" t="s">
        <v>76</v>
      </c>
      <c r="AJ85" s="5">
        <v>18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</row>
    <row r="86" spans="1:75" ht="29.1" hidden="1">
      <c r="A86" s="7" t="s">
        <v>130</v>
      </c>
      <c r="B86" s="7" t="s">
        <v>162</v>
      </c>
      <c r="C86" s="7" t="s">
        <v>184</v>
      </c>
      <c r="D86" s="31" t="s">
        <v>78</v>
      </c>
      <c r="E86" s="10" t="s">
        <v>76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 spans="1:75" ht="45.75">
      <c r="A87" s="95" t="s">
        <v>168</v>
      </c>
      <c r="B87" s="87" t="s">
        <v>169</v>
      </c>
      <c r="C87" s="96" t="s">
        <v>185</v>
      </c>
      <c r="D87" s="87" t="s">
        <v>171</v>
      </c>
      <c r="E87" s="10" t="s">
        <v>76</v>
      </c>
      <c r="F87" s="9"/>
      <c r="G87" s="5"/>
      <c r="H87" s="5"/>
      <c r="I87" s="5"/>
      <c r="J87" s="5"/>
      <c r="K87" s="5"/>
      <c r="L87" s="5"/>
      <c r="N87" s="5"/>
      <c r="O87" s="9"/>
      <c r="P87" s="5"/>
      <c r="Q87" s="5"/>
      <c r="R87" s="5"/>
      <c r="S87" s="5"/>
      <c r="T87" s="5"/>
      <c r="U87" s="9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>
        <v>9</v>
      </c>
      <c r="AL87" s="47">
        <v>3</v>
      </c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</row>
    <row r="88" spans="1:75" ht="45.75">
      <c r="A88" s="95" t="s">
        <v>168</v>
      </c>
      <c r="B88" s="87" t="s">
        <v>169</v>
      </c>
      <c r="C88" s="96" t="s">
        <v>186</v>
      </c>
      <c r="D88" s="87" t="s">
        <v>171</v>
      </c>
      <c r="E88" s="10" t="s">
        <v>76</v>
      </c>
      <c r="F88" s="9"/>
      <c r="G88" s="5"/>
      <c r="H88" s="5"/>
      <c r="I88" s="5"/>
      <c r="J88" s="5"/>
      <c r="K88" s="5"/>
      <c r="L88" s="5"/>
      <c r="N88" s="5"/>
      <c r="O88" s="9"/>
      <c r="P88" s="5"/>
      <c r="Q88" s="5"/>
      <c r="R88" s="5"/>
      <c r="S88" s="5"/>
      <c r="T88" s="5"/>
      <c r="U88" s="9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>
        <v>9</v>
      </c>
      <c r="AL88" s="47">
        <v>4</v>
      </c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</row>
    <row r="89" spans="1:75" ht="30.75">
      <c r="A89" s="95" t="s">
        <v>168</v>
      </c>
      <c r="B89" s="87" t="s">
        <v>169</v>
      </c>
      <c r="C89" s="96" t="s">
        <v>187</v>
      </c>
      <c r="D89" s="87" t="s">
        <v>171</v>
      </c>
      <c r="E89" s="10" t="s">
        <v>76</v>
      </c>
      <c r="AL89" s="5">
        <v>5</v>
      </c>
    </row>
    <row r="90" spans="1:75" ht="29.25">
      <c r="A90" s="95" t="s">
        <v>168</v>
      </c>
      <c r="B90" s="87" t="s">
        <v>169</v>
      </c>
      <c r="C90" s="96" t="s">
        <v>188</v>
      </c>
      <c r="D90" s="87" t="s">
        <v>171</v>
      </c>
      <c r="E90" s="10" t="s">
        <v>76</v>
      </c>
      <c r="AL90" s="5">
        <v>6</v>
      </c>
    </row>
  </sheetData>
  <autoFilter ref="A3:E89" xr:uid="{DD0FEE43-97CE-404B-BC6B-622FE3AD7644}">
    <filterColumn colId="3">
      <filters>
        <filter val="Oğuzhan"/>
      </filters>
    </filterColumn>
  </autoFilter>
  <mergeCells count="18">
    <mergeCell ref="BS1:BW1"/>
    <mergeCell ref="BB1:BE1"/>
    <mergeCell ref="BF1:BI1"/>
    <mergeCell ref="AO1:AR1"/>
    <mergeCell ref="AS1:AV1"/>
    <mergeCell ref="AF1:AI1"/>
    <mergeCell ref="C3:C4"/>
    <mergeCell ref="D3:D4"/>
    <mergeCell ref="AJ1:AN1"/>
    <mergeCell ref="A3:A4"/>
    <mergeCell ref="F1:I1"/>
    <mergeCell ref="E3:E4"/>
    <mergeCell ref="B3:B4"/>
    <mergeCell ref="J1:N1"/>
    <mergeCell ref="O1:R1"/>
    <mergeCell ref="S1:V1"/>
    <mergeCell ref="W1:AA1"/>
    <mergeCell ref="AB1:AE1"/>
  </mergeCells>
  <phoneticPr fontId="1" type="noConversion"/>
  <conditionalFormatting sqref="E32">
    <cfRule type="expression" dxfId="25" priority="16">
      <formula>#REF!="KO"</formula>
    </cfRule>
    <cfRule type="expression" dxfId="24" priority="17">
      <formula>#REF!="RL"</formula>
    </cfRule>
    <cfRule type="expression" dxfId="23" priority="18">
      <formula>$E32="İptal"</formula>
    </cfRule>
  </conditionalFormatting>
  <conditionalFormatting sqref="E36">
    <cfRule type="expression" dxfId="22" priority="13">
      <formula>#REF!="KO"</formula>
    </cfRule>
    <cfRule type="expression" dxfId="21" priority="14">
      <formula>#REF!="RL"</formula>
    </cfRule>
    <cfRule type="expression" dxfId="20" priority="15">
      <formula>$E36="İptal"</formula>
    </cfRule>
  </conditionalFormatting>
  <conditionalFormatting sqref="E38:E39">
    <cfRule type="expression" dxfId="19" priority="4">
      <formula>#REF!="KO"</formula>
    </cfRule>
    <cfRule type="expression" dxfId="18" priority="5">
      <formula>#REF!="RL"</formula>
    </cfRule>
    <cfRule type="expression" dxfId="17" priority="6">
      <formula>$E38="İptal"</formula>
    </cfRule>
  </conditionalFormatting>
  <conditionalFormatting sqref="E44:E56">
    <cfRule type="expression" dxfId="16" priority="61">
      <formula>#REF!="KO"</formula>
    </cfRule>
    <cfRule type="expression" dxfId="15" priority="62">
      <formula>#REF!="RL"</formula>
    </cfRule>
    <cfRule type="expression" dxfId="14" priority="63">
      <formula>$E44="İptal"</formula>
    </cfRule>
  </conditionalFormatting>
  <conditionalFormatting sqref="E68">
    <cfRule type="expression" dxfId="13" priority="1">
      <formula>#REF!="KO"</formula>
    </cfRule>
    <cfRule type="expression" dxfId="12" priority="2">
      <formula>#REF!="RL"</formula>
    </cfRule>
    <cfRule type="expression" dxfId="11" priority="3">
      <formula>$E68="İptal"</formula>
    </cfRule>
  </conditionalFormatting>
  <conditionalFormatting sqref="F1 J1">
    <cfRule type="expression" dxfId="10" priority="51">
      <formula>IF(AND(TODAY()&gt;=J$3,TODAY()&lt;K$3),TRUE,FALSE)</formula>
    </cfRule>
  </conditionalFormatting>
  <conditionalFormatting sqref="F2:AL2">
    <cfRule type="expression" dxfId="9" priority="43">
      <formula>IF(AND(TODAY()&gt;=F$3,TODAY()&lt;G$3),TRUE,FALSE)</formula>
    </cfRule>
  </conditionalFormatting>
  <conditionalFormatting sqref="M47:T47 F51:P67 S51:Z67 F36:J43">
    <cfRule type="expression" dxfId="8" priority="24">
      <formula>IF(AND(TODAY()&gt;=F$3,TODAY()&lt;G$3),TRUE,FALSE)</formula>
    </cfRule>
  </conditionalFormatting>
  <conditionalFormatting sqref="O1 S1 W1 F2:AL4 F5:I13 T13:Z15 F14:H16 S16:Z33 J17 F23:J31 F32:M32 F33:J34 F35:H35 V39:Z40 Z41:Z43 S44:Z44 F44:I46 M45:N46 P45:Q46 S45:T46 V45:Z47 F47:K50 AB47:AB50 M48:P50 R48:U50 W48:Z50 Q57:R57 F68:I68 F69:Z86 F87:I88 F89:Z1048576">
    <cfRule type="expression" dxfId="7" priority="44">
      <formula>IF(AND(TODAY()&gt;=F$3,TODAY()&lt;G$3),TRUE,FALSE)</formula>
    </cfRule>
  </conditionalFormatting>
  <conditionalFormatting sqref="O36 P37:P38">
    <cfRule type="expression" dxfId="6" priority="36">
      <formula>IF(AND(TODAY()&gt;=O$3,TODAY()&lt;P$3),TRUE,FALSE)</formula>
    </cfRule>
  </conditionalFormatting>
  <conditionalFormatting sqref="R34:Y34 R35:Z38">
    <cfRule type="expression" dxfId="5" priority="26">
      <formula>IF(AND(TODAY()&gt;=R$3,TODAY()&lt;S$3),TRUE,FALSE)</formula>
    </cfRule>
  </conditionalFormatting>
  <conditionalFormatting sqref="T7:V12">
    <cfRule type="expression" dxfId="4" priority="19">
      <formula>IF(AND(TODAY()&gt;=T$3,TODAY()&lt;U$3),TRUE,FALSE)</formula>
    </cfRule>
  </conditionalFormatting>
  <conditionalFormatting sqref="AB1">
    <cfRule type="expression" dxfId="3" priority="53">
      <formula>IF(AND(TODAY()&gt;=AE$3,TODAY()&lt;AF$3),TRUE,FALSE)</formula>
    </cfRule>
  </conditionalFormatting>
  <conditionalFormatting sqref="AF1">
    <cfRule type="expression" dxfId="2" priority="49">
      <formula>IF(AND(TODAY()&gt;=AI$3,TODAY()&lt;AJ$3),TRUE,FALSE)</formula>
    </cfRule>
  </conditionalFormatting>
  <conditionalFormatting sqref="AM2:BW2">
    <cfRule type="expression" dxfId="1" priority="55">
      <formula>IF(AND(TODAY()&gt;=AM$3,TODAY()&lt;#REF!),TRUE,FALSE)</formula>
    </cfRule>
  </conditionalFormatting>
  <conditionalFormatting sqref="AM2:BW4">
    <cfRule type="expression" dxfId="0" priority="57">
      <formula>IF(AND(TODAY()&gt;=AM$3,TODAY()&lt;#REF!),TRUE,FALSE)</formula>
    </cfRule>
  </conditionalFormatting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4FEA7C860410C47A92DD13C251DB6BA" ma:contentTypeVersion="6" ma:contentTypeDescription="Yeni belge oluşturun." ma:contentTypeScope="" ma:versionID="1eb1de9ca78190a0dd9fed5e2b7fa4d3">
  <xsd:schema xmlns:xsd="http://www.w3.org/2001/XMLSchema" xmlns:xs="http://www.w3.org/2001/XMLSchema" xmlns:p="http://schemas.microsoft.com/office/2006/metadata/properties" xmlns:ns2="aa36323a-8d60-4153-931e-09c9d6d80f07" xmlns:ns3="cf1451bc-8315-4946-800c-425b3ef78b44" targetNamespace="http://schemas.microsoft.com/office/2006/metadata/properties" ma:root="true" ma:fieldsID="c5f134edfe6d85913d041140c6e1c2b5" ns2:_="" ns3:_="">
    <xsd:import namespace="aa36323a-8d60-4153-931e-09c9d6d80f07"/>
    <xsd:import namespace="cf1451bc-8315-4946-800c-425b3ef78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6323a-8d60-4153-931e-09c9d6d80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451bc-8315-4946-800c-425b3ef78b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7E3663-4148-48E0-BD73-F89BB12F420A}"/>
</file>

<file path=customXml/itemProps2.xml><?xml version="1.0" encoding="utf-8"?>
<ds:datastoreItem xmlns:ds="http://schemas.openxmlformats.org/officeDocument/2006/customXml" ds:itemID="{64F0B3C4-1239-448A-802D-8C1800AAA4CF}"/>
</file>

<file path=customXml/itemProps3.xml><?xml version="1.0" encoding="utf-8"?>
<ds:datastoreItem xmlns:ds="http://schemas.openxmlformats.org/officeDocument/2006/customXml" ds:itemID="{A348075D-BA20-49C5-8EEB-DB0446AB9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TEMSA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mustafa.altintas@temsa.com</dc:creator>
  <cp:keywords/>
  <dc:description/>
  <cp:lastModifiedBy/>
  <cp:revision/>
  <dcterms:created xsi:type="dcterms:W3CDTF">2024-10-30T08:02:48Z</dcterms:created>
  <dcterms:modified xsi:type="dcterms:W3CDTF">2026-04-13T06:17:27Z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8fea50-c8fd-43f9-9978-40ba5e133c22_Enabled">
    <vt:lpwstr>true</vt:lpwstr>
  </property>
  <property fmtid="{D5CDD505-2E9C-101B-9397-08002B2CF9AE}" pid="3" name="MSIP_Label_268fea50-c8fd-43f9-9978-40ba5e133c22_SetDate">
    <vt:lpwstr>2024-10-30T08:02:52Z</vt:lpwstr>
  </property>
  <property fmtid="{D5CDD505-2E9C-101B-9397-08002B2CF9AE}" pid="4" name="MSIP_Label_268fea50-c8fd-43f9-9978-40ba5e133c22_Method">
    <vt:lpwstr>Standard</vt:lpwstr>
  </property>
  <property fmtid="{D5CDD505-2E9C-101B-9397-08002B2CF9AE}" pid="5" name="MSIP_Label_268fea50-c8fd-43f9-9978-40ba5e133c22_Name">
    <vt:lpwstr>Şirket İçi</vt:lpwstr>
  </property>
  <property fmtid="{D5CDD505-2E9C-101B-9397-08002B2CF9AE}" pid="6" name="MSIP_Label_268fea50-c8fd-43f9-9978-40ba5e133c22_SiteId">
    <vt:lpwstr>5dce36ea-c335-4633-953e-d88d0a57bbaf</vt:lpwstr>
  </property>
  <property fmtid="{D5CDD505-2E9C-101B-9397-08002B2CF9AE}" pid="7" name="MSIP_Label_268fea50-c8fd-43f9-9978-40ba5e133c22_ActionId">
    <vt:lpwstr>7a8fabd8-3b7a-4f2a-a74a-7393f0965b02</vt:lpwstr>
  </property>
  <property fmtid="{D5CDD505-2E9C-101B-9397-08002B2CF9AE}" pid="8" name="MSIP_Label_268fea50-c8fd-43f9-9978-40ba5e133c22_ContentBits">
    <vt:lpwstr>0</vt:lpwstr>
  </property>
  <property fmtid="{D5CDD505-2E9C-101B-9397-08002B2CF9AE}" pid="9" name="ContentTypeId">
    <vt:lpwstr>0x01010054FEA7C860410C47A92DD13C251DB6BA</vt:lpwstr>
  </property>
</Properties>
</file>